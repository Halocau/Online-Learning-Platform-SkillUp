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esktop\Sửa docs\Nop\"/>
    </mc:Choice>
  </mc:AlternateContent>
  <xr:revisionPtr revIDLastSave="0" documentId="13_ncr:1_{6CD09AE9-ECEE-4A12-8514-B0461FAA419C}" xr6:coauthVersionLast="47" xr6:coauthVersionMax="47" xr10:uidLastSave="{00000000-0000-0000-0000-000000000000}"/>
  <bookViews>
    <workbookView xWindow="-108" yWindow="-108" windowWidth="23256" windowHeight="12456" firstSheet="6" activeTab="6" xr2:uid="{00000000-000D-0000-FFFF-FFFF00000000}"/>
  </bookViews>
  <sheets>
    <sheet name="Cover" sheetId="1" r:id="rId1"/>
    <sheet name="Test Cases" sheetId="2" r:id="rId2"/>
    <sheet name="Test Statistics" sheetId="3" r:id="rId3"/>
    <sheet name="Authentication" sheetId="4" r:id="rId4"/>
    <sheet name="Workflow of Student" sheetId="5" r:id="rId5"/>
    <sheet name="Workflow of Lecturer" sheetId="6" r:id="rId6"/>
    <sheet name="AI Assistant" sheetId="7" r:id="rId7"/>
    <sheet name="Workflow of System Moderator" sheetId="8" r:id="rId8"/>
    <sheet name="Workflow of Content Morderator" sheetId="9" r:id="rId9"/>
    <sheet name="Workflow of Admin" sheetId="10" r:id="rId10"/>
    <sheet name="Test Category" sheetId="11" state="hidden" r:id="rId11"/>
  </sheets>
  <definedNames>
    <definedName name="ACTION" localSheetId="0">#REF!</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cfJ6ZLUQPEEQ6eLJzSSpXeXjBMYHwULIdpwZuF1op5I="/>
    </ext>
  </extLst>
</workbook>
</file>

<file path=xl/calcChain.xml><?xml version="1.0" encoding="utf-8"?>
<calcChain xmlns="http://schemas.openxmlformats.org/spreadsheetml/2006/main">
  <c r="E8" i="11" l="1"/>
  <c r="D8" i="11"/>
  <c r="C8" i="11"/>
  <c r="B8" i="11"/>
  <c r="E7" i="11"/>
  <c r="D7" i="11"/>
  <c r="C7" i="11"/>
  <c r="B7" i="11"/>
  <c r="E6" i="11"/>
  <c r="D6" i="11"/>
  <c r="C6" i="11"/>
  <c r="B6" i="11"/>
  <c r="B4" i="11"/>
  <c r="E8" i="10"/>
  <c r="D8" i="10"/>
  <c r="C8" i="10"/>
  <c r="B8" i="10"/>
  <c r="E7" i="10"/>
  <c r="D7" i="10"/>
  <c r="C7" i="10"/>
  <c r="B7" i="10"/>
  <c r="E6" i="10"/>
  <c r="D6" i="10"/>
  <c r="C6" i="10"/>
  <c r="B6" i="10"/>
  <c r="E8" i="9"/>
  <c r="D8" i="9"/>
  <c r="C8" i="9"/>
  <c r="B8" i="9"/>
  <c r="E7" i="9"/>
  <c r="D7" i="9"/>
  <c r="C7" i="9"/>
  <c r="B7" i="9"/>
  <c r="E6" i="9"/>
  <c r="D6" i="9"/>
  <c r="C6" i="9"/>
  <c r="B6" i="9"/>
  <c r="E8" i="8"/>
  <c r="D8" i="8"/>
  <c r="C8" i="8"/>
  <c r="B8" i="8"/>
  <c r="E7" i="8"/>
  <c r="D7" i="8"/>
  <c r="C7" i="8"/>
  <c r="B7" i="8"/>
  <c r="E6" i="8"/>
  <c r="D6" i="8"/>
  <c r="C6" i="8"/>
  <c r="B6" i="8"/>
  <c r="E8" i="7"/>
  <c r="D8" i="7"/>
  <c r="C8" i="7"/>
  <c r="B8" i="7"/>
  <c r="E7" i="7"/>
  <c r="D7" i="7"/>
  <c r="C7" i="7"/>
  <c r="B7" i="7"/>
  <c r="E6" i="7"/>
  <c r="D6" i="7"/>
  <c r="C6" i="7"/>
  <c r="B6" i="7"/>
  <c r="E8" i="6"/>
  <c r="D8" i="6"/>
  <c r="C8" i="6"/>
  <c r="B8" i="6"/>
  <c r="E7" i="6"/>
  <c r="D7" i="6"/>
  <c r="C7" i="6"/>
  <c r="B7" i="6"/>
  <c r="E6" i="6"/>
  <c r="D6" i="6"/>
  <c r="C6" i="6"/>
  <c r="B6" i="6"/>
  <c r="E8" i="5"/>
  <c r="D8" i="5"/>
  <c r="C8" i="5"/>
  <c r="B8" i="5"/>
  <c r="E7" i="5"/>
  <c r="D7" i="5"/>
  <c r="C7" i="5"/>
  <c r="B7" i="5"/>
  <c r="E6" i="5"/>
  <c r="D6" i="5"/>
  <c r="C6" i="5"/>
  <c r="B6" i="5"/>
  <c r="E8" i="4"/>
  <c r="D8" i="4"/>
  <c r="C8" i="4"/>
  <c r="E11" i="3" s="1"/>
  <c r="E19" i="3" s="1"/>
  <c r="B8" i="4"/>
  <c r="E7" i="4"/>
  <c r="D7" i="4"/>
  <c r="C7" i="4"/>
  <c r="B7" i="4"/>
  <c r="E6" i="4"/>
  <c r="D6" i="4"/>
  <c r="C6" i="4"/>
  <c r="B6" i="4"/>
  <c r="H19" i="3"/>
  <c r="G19" i="3"/>
  <c r="F19" i="3"/>
  <c r="D19" i="3"/>
  <c r="E22" i="3" s="1"/>
  <c r="H17" i="3"/>
  <c r="G17" i="3"/>
  <c r="F17" i="3"/>
  <c r="E17" i="3"/>
  <c r="D17" i="3"/>
  <c r="C17" i="3"/>
  <c r="H16" i="3"/>
  <c r="G16" i="3"/>
  <c r="F16" i="3"/>
  <c r="E16" i="3"/>
  <c r="D16" i="3"/>
  <c r="C16" i="3"/>
  <c r="H15" i="3"/>
  <c r="G15" i="3"/>
  <c r="F15" i="3"/>
  <c r="E15" i="3"/>
  <c r="D15" i="3"/>
  <c r="C15" i="3"/>
  <c r="H14" i="3"/>
  <c r="G14" i="3"/>
  <c r="F14" i="3"/>
  <c r="E14" i="3"/>
  <c r="D14" i="3"/>
  <c r="C14" i="3"/>
  <c r="H13" i="3"/>
  <c r="G13" i="3"/>
  <c r="F13" i="3"/>
  <c r="E13" i="3"/>
  <c r="D13" i="3"/>
  <c r="C13" i="3"/>
  <c r="H12" i="3"/>
  <c r="G12" i="3"/>
  <c r="F12" i="3"/>
  <c r="E12" i="3"/>
  <c r="D12" i="3"/>
  <c r="C12" i="3"/>
  <c r="H11" i="3"/>
  <c r="G11" i="3"/>
  <c r="F11" i="3"/>
  <c r="D11" i="3"/>
  <c r="C11" i="3"/>
  <c r="C5" i="3"/>
  <c r="B6" i="1"/>
  <c r="E21"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 authorId="0" shapeId="0" xr:uid="{00000000-0006-0000-0000-000001000000}">
      <text>
        <r>
          <rPr>
            <sz val="11"/>
            <color rgb="FF000000"/>
            <rFont val="MS PGothic"/>
            <scheme val="minor"/>
          </rPr>
          <t>======
ID#AAABuoKz240
    (2025-11-02 10:03:56)
*A: Add
  M: Modify
  D: Delete</t>
        </r>
      </text>
    </comment>
  </commentList>
  <extLst>
    <ext xmlns:r="http://schemas.openxmlformats.org/officeDocument/2006/relationships" uri="GoogleSheetsCustomDataVersion2">
      <go:sheetsCustomData xmlns:go="http://customooxmlschemas.google.com/" r:id="rId1" roundtripDataSignature="AMtx7mhLZznN4EiWjnR3IIr7vCzyNdbi/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700-000001000000}">
      <text>
        <r>
          <rPr>
            <sz val="11"/>
            <color rgb="FF000000"/>
            <rFont val="MS PGothic"/>
            <scheme val="minor"/>
          </rPr>
          <t>======
ID#AAABuoKz24w
tqsang    (2025-11-02 10:03:56)
List all test cases (must run before this case), conditions that must be done, or required state that the system should be in before performing this case</t>
        </r>
      </text>
    </comment>
  </commentList>
  <extLst>
    <ext xmlns:r="http://schemas.openxmlformats.org/officeDocument/2006/relationships" uri="GoogleSheetsCustomDataVersion2">
      <go:sheetsCustomData xmlns:go="http://customooxmlschemas.google.com/" r:id="rId1" roundtripDataSignature="AMtx7mi3IrD2ygKXhWW9GZflTrs+u/NU8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800-000001000000}">
      <text>
        <r>
          <rPr>
            <sz val="11"/>
            <color rgb="FF000000"/>
            <rFont val="MS PGothic"/>
            <scheme val="minor"/>
          </rPr>
          <t>======
ID#AAABuoKz244
tqsang    (2025-11-02 10:03:56)
List all test cases (must run before this case), conditions that must be done, or required state that the system should be in before performing this case</t>
        </r>
      </text>
    </comment>
  </commentList>
  <extLst>
    <ext xmlns:r="http://schemas.openxmlformats.org/officeDocument/2006/relationships" uri="GoogleSheetsCustomDataVersion2">
      <go:sheetsCustomData xmlns:go="http://customooxmlschemas.google.com/" r:id="rId1" roundtripDataSignature="AMtx7mg5d/HbnltPzaGQtKZ11RwlDTjfRw=="/>
    </ext>
  </extLst>
</comments>
</file>

<file path=xl/sharedStrings.xml><?xml version="1.0" encoding="utf-8"?>
<sst xmlns="http://schemas.openxmlformats.org/spreadsheetml/2006/main" count="2477" uniqueCount="856">
  <si>
    <t>SYSTEM TEST REPORT DOCUMENT</t>
  </si>
  <si>
    <t>Project Name</t>
  </si>
  <si>
    <t>Online Learning Platform – SkillUp</t>
  </si>
  <si>
    <t>Creator</t>
  </si>
  <si>
    <t>TuanCM</t>
  </si>
  <si>
    <t>Project Code</t>
  </si>
  <si>
    <t>OLP-SkillUp</t>
  </si>
  <si>
    <t>Issue Date</t>
  </si>
  <si>
    <t>Document Code</t>
  </si>
  <si>
    <t>Version</t>
  </si>
  <si>
    <t>1.0</t>
  </si>
  <si>
    <t>Record of change</t>
  </si>
  <si>
    <t>Effective Date</t>
  </si>
  <si>
    <t>Change Item</t>
  </si>
  <si>
    <t>*A,D,M</t>
  </si>
  <si>
    <t>Change description</t>
  </si>
  <si>
    <t>Reference</t>
  </si>
  <si>
    <t>A</t>
  </si>
  <si>
    <t>Initialize System Test</t>
  </si>
  <si>
    <t>Test Cases, Test Statistics</t>
  </si>
  <si>
    <t>Implement test cases for Iteration 1.</t>
  </si>
  <si>
    <t>M</t>
  </si>
  <si>
    <t>Implement test cases for Iteration 2.</t>
  </si>
  <si>
    <t>Implement test cases for Iteration 3.</t>
  </si>
  <si>
    <t>TEST CASE LIST</t>
  </si>
  <si>
    <t>Test Environment Setup Description</t>
  </si>
  <si>
    <t>1. Server
2. SQLServer
3.Google Chrome, Microsoft Edge
4. Microsoft Visual Studio</t>
  </si>
  <si>
    <t>No</t>
  </si>
  <si>
    <t>Function Name</t>
  </si>
  <si>
    <t>Sheet Name</t>
  </si>
  <si>
    <t>Description</t>
  </si>
  <si>
    <t>Pre-Condition</t>
  </si>
  <si>
    <t>Authentication</t>
  </si>
  <si>
    <t>Workflow of Student</t>
  </si>
  <si>
    <t>Workflow of Lecturer</t>
  </si>
  <si>
    <t>Workflow of System Moderator</t>
  </si>
  <si>
    <t>Workflow of Content Morderator</t>
  </si>
  <si>
    <t>Workflow of Admin</t>
  </si>
  <si>
    <t>AI Assistant</t>
  </si>
  <si>
    <t>TEST STATISTICS</t>
  </si>
  <si>
    <t>Reviewer/Approver</t>
  </si>
  <si>
    <t>Notes</t>
  </si>
  <si>
    <t>Module code</t>
  </si>
  <si>
    <t>Passed</t>
  </si>
  <si>
    <t>Failed</t>
  </si>
  <si>
    <t>Pending</t>
  </si>
  <si>
    <t>N/A</t>
  </si>
  <si>
    <t>Number of  test cases</t>
  </si>
  <si>
    <t>Sub total</t>
  </si>
  <si>
    <t>Test coverage</t>
  </si>
  <si>
    <t>%</t>
  </si>
  <si>
    <t>Test successful coverage</t>
  </si>
  <si>
    <t>Workflow</t>
  </si>
  <si>
    <t>Test requirement</t>
  </si>
  <si>
    <t>Check if the functionalities of authentication feature work.</t>
  </si>
  <si>
    <t>Number of TCs</t>
  </si>
  <si>
    <t>Testing Round</t>
  </si>
  <si>
    <t>Round 1</t>
  </si>
  <si>
    <t>Round 2</t>
  </si>
  <si>
    <t>Round 3</t>
  </si>
  <si>
    <t>Test Case ID</t>
  </si>
  <si>
    <t>Test Case Description</t>
  </si>
  <si>
    <t>Test Case Procedure</t>
  </si>
  <si>
    <t>Expected Results</t>
  </si>
  <si>
    <t>Pre-conditions</t>
  </si>
  <si>
    <t>Test date</t>
  </si>
  <si>
    <t>Tester</t>
  </si>
  <si>
    <t>Note</t>
  </si>
  <si>
    <t>Register</t>
  </si>
  <si>
    <t>[Authen - 1]</t>
  </si>
  <si>
    <t xml:space="preserve">Test registration with valid input :
- Email
- Password
- Repassword
- Full name
</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</si>
  <si>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student@gmail.com
 - Password: Student@123
 - RePassword: Student@123
 - Full Name: Nguyen Van A
6. Guest user click the “Đăng ký” button.
7. Guest user ou are redirected to the “Đăng nhập” screen.</t>
  </si>
  <si>
    <t>- The guest user successfully registered, is redirected to the login page and the user details are stored in the database.
- Notification display system "Đăng ký thành công! Vui lòng kiểm tra email để xác thực tài khoản."
- The system sends authentication to the registered user's email.</t>
  </si>
  <si>
    <t>Server must be work
Guest user is not logged in and wants to create an account.</t>
  </si>
  <si>
    <t>[Authen - 2]</t>
  </si>
  <si>
    <t>1. Enter "http://localhost:5173/" to navigate to the website.
(Top-right corner of the screen)
2. Guest user clicks the “Đăng ký” button.
3. The site displays the registration form.
4. Guest user selects a registration role: “Student” or “Lecturer.”
5.Guest user enter invalid email form(e.g., quatbt.com)
6. Guest user clicks the “Đăng ký” button.
7. Website displays an error message for invaild email format
8. Guest user corrects the mail format and resubmits the form.</t>
  </si>
  <si>
    <t>System displays an error message for the empty fields and prevents registration until corrected.</t>
  </si>
  <si>
    <t>[Authen - 3]</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</si>
  <si>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empty
 - Password: empty
 - RePassword: empty
 - Full Name: empty
6. The registration form displays the message "vui lòng điền vào trường này".
7. The guest user corrects the inputs so no field is left blank and the format is valid, then submits the form.</t>
  </si>
  <si>
    <t>[Authen - 4]</t>
  </si>
  <si>
    <t>Test registration with password must be shorter than 6 characters</t>
  </si>
  <si>
    <t>1. Enter "http://localhost:5173/" to navigate to the website.
(Top-right corner of the screen)
2. Guest user click the “Đăng ký” button.
3. The site displays the registration form.
4. Guest user select a registration role: “Student” or “Lecturer.”
5.  Guest user enters a Password shorter than 6 characters (e.g., pass2).
6. Website displays an error message indicating "Mật khẩu phải có ít nhất 6 ký tự"
7. Guest user corrects the Password and resubmits the form.</t>
  </si>
  <si>
    <t>Displays an error message indicating "Mật khẩu phải có ít nhất 6 ký tự"</t>
  </si>
  <si>
    <t>[Authen - 5]</t>
  </si>
  <si>
    <t>1. Enter "http://localhost:5173/" to navigate to the website.
(Top-right corner of the screen)
2. Guest user clicks the “Đăng ký” button.
3. The site displays the registration form.
4. Guest user selects a registration role: “Student” or “Lecturer.”
5.The guest user enters a confirmation password that does not match the password (e.g., Password: Student@123, Confirm Password: studenta12).
6. Guest user clicks the “Đăng ký” button.
7. The website displays the message "Mật khẩu không khớp".
8. The guest user corrects the confirm password and resubmits the form.</t>
  </si>
  <si>
    <t>Displays an error message indicating "Mật khẩu không khớp"</t>
  </si>
  <si>
    <t>[Authen - 6]</t>
  </si>
  <si>
    <t>1. Enter "http://localhost:5173/" to navigate to the website.
(Top-right corner of the screen)
2. Guest user clicks the “Đăng ký” button.
3. The site displays the registration form.
4. Guest user selects a registration role: “Student” or “Lecturer.”
5.Guest user enters an email address that already exists in the system.
6. Guest user clicks the “Đăng ký” button.
7. The website displays the message "Email đã tồn tại hoặc có lỗi xảy ra".
8. The guest user corrects the email and resubmits the form.</t>
  </si>
  <si>
    <t>Displays an error message indicating "Email đã tồn tại hoặc có lỗi xảy ra"</t>
  </si>
  <si>
    <t>Login by account</t>
  </si>
  <si>
    <t>[Authen - 7]</t>
  </si>
  <si>
    <t>Check if the user can successfully log in with a valid email and password.</t>
  </si>
  <si>
    <t>1. Enter "http://localhost:5173/" to go to website
2. Location in the right corner of the screen:
- Click on "Đăng nhập" button
3. Fill in information including:
- Email: user@example.com
- Password: String
4. Click "Đăng nhập" button</t>
  </si>
  <si>
    <t>System displays message "Đăng nhập thành công!"</t>
  </si>
  <si>
    <t>[Authen - 8]</t>
  </si>
  <si>
    <t>Check if the website handles an incorrect password.</t>
  </si>
  <si>
    <t>1. Enter "http://localhost:5173/" to go to website
2. Location in the right corner of the screen:
- Click on "Đăng nhập" button
3. Fill in information including:
- Email: user@example.com
- Password: String1111
4. Click "Đăng nhập" button</t>
  </si>
  <si>
    <t>System displays message "Email hoặc mật khẩu không đúng"</t>
  </si>
  <si>
    <t>[Authen - 9]</t>
  </si>
  <si>
    <t>Check if the website handles an unregistered email address.</t>
  </si>
  <si>
    <t>1. Enter "http://localhost:5173/" to go to website
2. Location in the right corner of the screen:
- Click on "Đăng nhập" button
3. Fill in information including:
- Email: user11@example.com
- Password: String
4. Click "Đăng nhập" button</t>
  </si>
  <si>
    <t>Login by google</t>
  </si>
  <si>
    <t>[Authen - 10]</t>
  </si>
  <si>
    <t>Check if the user can successfully log in using a valid Google account.</t>
  </si>
  <si>
    <t>1. Enter "http://localhost:5173/" to navigate to the website.
(Top-right corner of the screen)
2. Guest user click the “Đăng nhập” button.
3. Click on the "Tiếp tục sử dụng dịch vụ bằng google" button.
4. The system redirects to Google’s login page.
5. The system redirects back to the application, showing the user's dashboard or homepage".</t>
  </si>
  <si>
    <t>System displays message "Đăng nhập Google thành công"</t>
  </si>
  <si>
    <t>1.Server must be work
2..Account must be in system</t>
  </si>
  <si>
    <t>Forgot password</t>
  </si>
  <si>
    <t>[Authen - 11]</t>
  </si>
  <si>
    <t>Verify if the user can request a password reset by entering a valid registered email address.</t>
  </si>
  <si>
    <t>1. Enter "http://localhost:5173/" to navigate to the website.
(Top-right corner of the screen)
2. Guest user click the “Đăng nhập” button.
3. Guest user clicks on link "Quên mật khẩu?".
4. The system displays a form asking the user to enter their registered email address.
5. The user enters their email address and clicks the "Gửi email khôi phục" button.
6. The system sends a password reset email with a reset link to the user’s registered email address.
7. Redirect to "Đặt lại mật khẩu" screen
6. User enter the following valid information:
 - Mật khẩu mới: Student@123
 - Xác nhận mật khẩu mới: Student@123
7. Click on "Đặt lại mật khẩu" button</t>
  </si>
  <si>
    <t>System displays message "Đặt lại mật khẩu thành công"</t>
  </si>
  <si>
    <t>[Authen - 12]</t>
  </si>
  <si>
    <t xml:space="preserve">Enter non-existent email	</t>
  </si>
  <si>
    <t>1. Enter "http://localhost:5173/" to navigate to the website.
(Top-right corner of the screen)
2. Guest user click the “Đăng nhập” button.
3. Guest user clicks on link "Quên mật khẩu?".
4. The system displays a form asking the user to enter their registered email address.
5. User enters an email that is not registered in the system (e.g., nanhnanh07@gmail.com).
6. Clicks the "Gửi email khôi phục" button.</t>
  </si>
  <si>
    <t>System displays message "Email không tồn tại hoặc chưa xác thực"</t>
  </si>
  <si>
    <t>Logout</t>
  </si>
  <si>
    <t>[Authen - 13]</t>
  </si>
  <si>
    <t>Check if the user can successfully log out from the website.</t>
  </si>
  <si>
    <t>1. Enter "http://localhost:5173/" to go to website
2. Guest user login with system.
3.Click the avatar icon in top-right of website.
4. Click "Đăng xuất" button.</t>
  </si>
  <si>
    <t>- User is logged out and redirect home page. No user-specific data is accessible until the user logs in again.
- Show message "Đăng xuất thành công!"</t>
  </si>
  <si>
    <t>[Authen - 14]</t>
  </si>
  <si>
    <t>Check if a logged-out user is restricted from accessing pages meant for logged-in users.</t>
  </si>
  <si>
    <t>1. Enter "http://localhost:5173/" to go to website
2. Guest user login with system.
3.Click the avatar icon in top-right of website.
4. Click "Đăng xuất" button.
5. After logging out, try to directly access the restricted page by entering the URL in the browser.</t>
  </si>
  <si>
    <t>The system redirects the user to the homepage when they try to access the restricted page.</t>
  </si>
  <si>
    <t>Round 1, 07/12/2025: The system did not redirect the user to the homepage when they try to accesses the restricted page.</t>
  </si>
  <si>
    <t>[Authen - 15]</t>
  </si>
  <si>
    <t>Register to become a lecturer</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</si>
  <si>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lecturer@gmail.com
 - Password: Lecturer@123
 - RePassword: Lecturer@123
 - Full Name: Nguyen Van A
6. Guest user click the “Đăng ký” button.
7. Guest user ou are redirected to the “Đăng nhập” screen.
8. The guest user logs into the system using the newly registered account.
9. The system redirects to the Lecturer Application submission page.
10. Enter the following valid information:
- Chức danh: Senior
- Chuyên môn: Web Developer
- Mô tả kinh nghiệm: 5 years as a software engineer
- Tải lên CV: PDF file
- Tải lên ảnh bằng cấp: Image file (e.g., .png, .jpg...).
11. The user clicks the “Nộp đơn ứng tuyển” button.</t>
  </si>
  <si>
    <t>System displays message "Nộp CV thành công! Chúng tôi sẽ liên hệ với bạn sớm."</t>
  </si>
  <si>
    <t>Perform the functionalities of role Student</t>
  </si>
  <si>
    <t>Ticket Features</t>
  </si>
  <si>
    <t>[Ticket - 1]</t>
  </si>
  <si>
    <t>View ticket list for Students/Lecturer</t>
  </si>
  <si>
    <t>1. Login the system with the Student/Lecturer Role.
2. Click the "Phiếu hỗ trợ" tab in the header menu.</t>
  </si>
  <si>
    <t>The ticket list is displayed correctly with the following informations:
- Ticket filter
- Create new Ticket button
- The list of that user's submitted tickets along with view Details button for each</t>
  </si>
  <si>
    <t>- The server must be working
- User role must be Student or Lecturer
- The account status must be "Active"</t>
  </si>
  <si>
    <t>[Ticket - 2]</t>
  </si>
  <si>
    <t>Verify filter functionality of the View ticket list for Student/Lecturer screen</t>
  </si>
  <si>
    <t>1. Login the system with the Student/Lecturer Role.
2. Click the "Phiếu hỗ trợ" tab in the header menu.
3. Click the "Phiếu đã duyệt", "Phiếu bị từ chối" or "Tất cả phiếu" in the filter menu on the left.</t>
  </si>
  <si>
    <t>The ticket list is displayed correctly corresponding to the selected filter with the following informations:
- Ticket filter
- Create new Ticket button
- The list of that user's submitted tickets along with view Details button for each</t>
  </si>
  <si>
    <t>[Ticket - 3]</t>
  </si>
  <si>
    <t>Verify the Create new Ticket feature</t>
  </si>
  <si>
    <t>1. Login the system with the Student/Lecturer Role.
2. Click the "Phiếu hỗ trợ" tab in the header menu.
3. Click the "Tạo phiếu mới" button on the left.
4. Input the "Tiêu đề" and "Nội dung" field for Title and Content in the popup window.
5. Click the "Tạo phiếu" button.</t>
  </si>
  <si>
    <t>- Successfully create a new Ticket in the system, which can be found in the User's ticket list and System Moderator Ticket List.
- The newly created Ticket display the inputted informations correctly.</t>
  </si>
  <si>
    <t>[Ticket - 4]</t>
  </si>
  <si>
    <t>Test the Create new Ticket with empty Title.</t>
  </si>
  <si>
    <t>1. Login the system with the Student/Lecturer Role.
2. Click the "Phiếu hỗ trợ" tab in the header menu.
3. Click the "Tạo phiếu mới" button on the left.
4. Leave the "Tiêu đề" input fields blank.
5. Click the "Tạo phiếu" button.</t>
  </si>
  <si>
    <t>- The system send out error message below the blank inputted field.
- No new Ticket is created.</t>
  </si>
  <si>
    <t>[Ticket - 5]</t>
  </si>
  <si>
    <t>Test the Create new Ticket with empty Content.</t>
  </si>
  <si>
    <t>1. Login the system with the Student/Lecturer Role.
2. Click the "Phiếu hỗ trợ" tab in the header menu.
3. Click the "Tạo phiếu mới" button on the left.
4. Leave the "Nội dung" input fields blank.
5. Click the "Tạo phiếu" button.</t>
  </si>
  <si>
    <t>[Ticket - 6]</t>
  </si>
  <si>
    <t>Verify the View Ticket Details feature.</t>
  </si>
  <si>
    <t>1. Login the system with the Student/Lecturer Role.
2. Click the "Phiếu hỗ trợ" tab in the header menu.
3. Click the "Xem" button on the right of a ticket.</t>
  </si>
  <si>
    <t>The ticket details page is displayed correctly with the following informations:
- User's name
- Submitted date and time
- Response of the System Moderator
- Ticket's Code
- Ticket's Status</t>
  </si>
  <si>
    <t>[Ticket - 7]</t>
  </si>
  <si>
    <t>[Ticket - 8]</t>
  </si>
  <si>
    <t>Verify the Update Ticket feature.</t>
  </si>
  <si>
    <t>1. Login the system with the Student/Lecturer Role.
2. Click the "Phiếu hỗ trợ" tab in the header menu.
3. Click the "Xem" button on the right of a ticket.
4. Click the "Cập nhật phiếu" button on the right.
5. Edit the fields informations of the Ticket.
6. Click the "Lưu thay đổi" button</t>
  </si>
  <si>
    <t>- Successfully update the Ticket in the system.
- The updated Ticket display the inputted informations correctly.</t>
  </si>
  <si>
    <t>- The server must be working
- User role must be Student or Lecturer
- The account status must be "Active"
- The Ticket status must be "Pending"</t>
  </si>
  <si>
    <t>[Ticket - 9]</t>
  </si>
  <si>
    <t>Test the Update Ticket with empty Title.</t>
  </si>
  <si>
    <t>1. Login the system with the Student/Lecturer Role.
2. Click the "Phiếu hỗ trợ" tab in the header menu.
3. Click the "Xem" button on the right of a ticket.
4. Click the "Cập nhật phiếu" button on the right.
5. Leave the "Tiêu đề" field blank .
6. Click the "Lưu thay đổi" button</t>
  </si>
  <si>
    <t>- The system send out error message below the blank inputted field.
- No update is made.</t>
  </si>
  <si>
    <t>[Ticket - 10]</t>
  </si>
  <si>
    <t>Test the Update Ticket with empty Content.</t>
  </si>
  <si>
    <t>1. Login the system with the Student/Lecturer Role.
2. Click the "Phiếu hỗ trợ" tab in the header menu.
3. Click the "Xem" button on the right of a ticket.
4. Click the "Cập nhật phiếu" button on the right.
5. Leave the "Nội dung" field blank .
6. Click the "Lưu thay đổi" button</t>
  </si>
  <si>
    <t>Buying Course</t>
  </si>
  <si>
    <t>[Buy - 1]</t>
  </si>
  <si>
    <t>Verify student can add a free course to cart</t>
  </si>
  <si>
    <t>1. Login as Student
2. Navigate to Course Detail page for a free course
3. Click "Add to Cart" button
4. Verify cart count increases</t>
  </si>
  <si>
    <t>- Toast message: "Thêm vào giỏ hàng thành công"
- Cart count badge updates (+1)
- Course appears in cart</t>
  </si>
  <si>
    <t>- Student is logged in
- Free course exists (price = 0)
- Student not already enrolled</t>
  </si>
  <si>
    <t>[Buy - 2]</t>
  </si>
  <si>
    <t>Verify student can add a paid course to cart</t>
  </si>
  <si>
    <t>1. Login as Student
2. Navigate to Course Detail page for paid course
3. Verify price is displayed correctly
4. Click "Add to Cart" button (Shopping Cart icon)
5. Check cart page</t>
  </si>
  <si>
    <t>- Success toast notification appears
- Cart icon shows updated count
- Course appears in cart with correct price</t>
  </si>
  <si>
    <t>- Student is logged in
- Paid course exists (price &gt; 0)
- Course status = "Approved"</t>
  </si>
  <si>
    <t>[Buy - 3]</t>
  </si>
  <si>
    <t>Verify instant enrollment for free courses</t>
  </si>
  <si>
    <t>1. Login as Student
2. Navigate to free course detail page
3. Click "Đăng ký miễn phí" button
4. Verify enrollment status</t>
  </si>
  <si>
    <t>-Success message: Course enrolled successfully
- Course appears in "My Courses" page</t>
  </si>
  <si>
    <t>- Student logged in
- Course price = 0
- Course is published and approved</t>
  </si>
  <si>
    <t>[Buy - 4]</t>
  </si>
  <si>
    <t>Verify payment flow for single course purchase</t>
  </si>
  <si>
    <t>1. Login as Student
2. Navigate to paid course detail
3. Click "Mua ngay" button
4. Wait for PayOS redirect
5. Complete payment on PayOS gateway
6. Return to platform</t>
  </si>
  <si>
    <t>- PayOS payment page opens
- After successful payment: redirect to success page
- Course enrolled automatically
- Transaction recorded in payment history</t>
  </si>
  <si>
    <t>- Valid PayOS configuration
- Student has sufficient balance
- Course price &gt; 0</t>
  </si>
  <si>
    <t>[Buy - 5]</t>
  </si>
  <si>
    <t>Verify voucher application reduces course price</t>
  </si>
  <si>
    <t>1. Add course to cart
2. Navigate to cart
3. Enter valid voucher code for the course
4. Click "Apply"
5. Verify discount calculation</t>
  </si>
  <si>
    <t>- Discount amount displayed
- Final price = Original price - Discount
- Voucher badge shows on course item</t>
  </si>
  <si>
    <t>- Valid voucher exists for the course
- Voucher not expired
- Student meets voucher conditions</t>
  </si>
  <si>
    <t>[Buy - 6]</t>
  </si>
  <si>
    <t>Verify removing course from cart</t>
  </si>
  <si>
    <t>1. Navigate to cart with items
2. Click remove/delete button on a course
3. Confirm removal
4. Check cart count</t>
  </si>
  <si>
    <t>- Course removed from cart list
- Cart count decreases
- Total amount recalculates</t>
  </si>
  <si>
    <t>- At least one course in cart</t>
  </si>
  <si>
    <t>[Buy - 7]</t>
  </si>
  <si>
    <t>Verify bulk purchase from cart</t>
  </si>
  <si>
    <t>1. Add 2+ courses to cart
2. Apply vouchers (optional)
3. Click "Thanh toán" button
4. Complete PayOS payment
5. Verify enrollments</t>
  </si>
  <si>
    <t>- All courses enrolled after payment
- Cart cleared after successful payment
- All courses appear in "My Courses"
- Single transaction created for bundle</t>
  </si>
  <si>
    <t xml:space="preserve">- Multiple courses in cart
- Valid payment method </t>
  </si>
  <si>
    <t>[Buy - 8]</t>
  </si>
  <si>
    <t>Verify guest users can add courses to cart</t>
  </si>
  <si>
    <t>1. Log out (guest mode)
2. Browse course catalog
3. Click "Add to Cart" on course
4. Check localStorage for cart data</t>
  </si>
  <si>
    <t>- Toast: "Vui lòng đăng nhập để mua khóa học"
- Course stored in localStorage
- Cart count shows from localStorage</t>
  </si>
  <si>
    <t>- Not logged in
- Browser allows localStorage</t>
  </si>
  <si>
    <t>[Buy - 9]</t>
  </si>
  <si>
    <t>Verify system prevents buying already enrolled course</t>
  </si>
  <si>
    <t>1. Login as Student
2. Navigate to already enrolled course
3. Check button state on course detail</t>
  </si>
  <si>
    <t>- "Học ngay" button displayed instead of "Mua ngay"
- Add to cart button disabled
- Clicking redirects to learning page</t>
  </si>
  <si>
    <t>- Student already enrolled in course</t>
  </si>
  <si>
    <t>[Buy - 10]</t>
  </si>
  <si>
    <t>Verify enrollment after successful payment</t>
  </si>
  <si>
    <t>1. Complete payment flow (TC_BUY_004)
2. Navigate to /student/my-courses
3. Check enrollment API response</t>
  </si>
  <si>
    <t>- Course appears in enrolled courses list
- Progress bar shows 0% initially</t>
  </si>
  <si>
    <t>- Payment completed successfully
- Payment webhook processed</t>
  </si>
  <si>
    <t>Learning Course</t>
  </si>
  <si>
    <t>[Learning - 1]</t>
  </si>
  <si>
    <t>Verify student can access course learning page</t>
  </si>
  <si>
    <t>1. Login as Student
2. Navigate to "My Courses"
3. Click on enrolled course
4. Verify redirect to /student/learn/{courseId}</t>
  </si>
  <si>
    <t>- Course overview page loads
- Shows all sections and lessons
- Progress indicators visible
- No unauthorized access error</t>
  </si>
  <si>
    <t>- Student enrolled in course
- Course has published content</t>
  </si>
  <si>
    <t>[Learning - 2]</t>
  </si>
  <si>
    <t>Verify course structure display</t>
  </si>
  <si>
    <t>1. Access enrolled course learning page
2. Expand all sections
3. Count lessons, videos, quizzes</t>
  </si>
  <si>
    <t>- All sections listed
- Each section shows: title, description, item count
- Icons differentiate: Video, Text, Quiz
- Completed items marked with checkmark</t>
  </si>
  <si>
    <t>- Course has ≥1 section
- Section has ≥1 item</t>
  </si>
  <si>
    <t>[Learning - 3]</t>
  </si>
  <si>
    <t>Verify video lesson playback</t>
  </si>
  <si>
    <t>1. Navigate to course learning
2. Click on video lesson
3. Wait for video player to load
4. Play video
5. Verify tracking</t>
  </si>
  <si>
    <t>- Video player loads (React Player component)
- Video plays without errors
- Video controls available (play, pause, fullscreen)</t>
  </si>
  <si>
    <t>- Lesson type = "Video"
- Valid video URL
- Student enrolled</t>
  </si>
  <si>
    <t>[Learning - 4]</t>
  </si>
  <si>
    <t>Verify text content lesson display</t>
  </si>
  <si>
    <t>1. Access text-based lesson
2. Scroll through content
3. Verify formatting</t>
  </si>
  <si>
    <t>- Content renders correctly
- PDF viewer displays (if PDF type)
- Text is readable and formatted
- Lesson marked as viewed</t>
  </si>
  <si>
    <t>- Lesson type = "Text" or "PDF"
- Content exists</t>
  </si>
  <si>
    <t>[Learning - 5]</t>
  </si>
  <si>
    <t xml:space="preserve">Verify lesson completion functionality
</t>
  </si>
  <si>
    <t>1. Access any lesson
2. Complete watching/reading
3. Click "Mark as Complete" button
4. Check progress update</t>
  </si>
  <si>
    <t>- Lesson marked with checkmark
- Section progress percentage increases
- Overall course progress updates</t>
  </si>
  <si>
    <t>- Student in lesson view
- Lesson not already completed</t>
  </si>
  <si>
    <t>[Learning - 6]</t>
  </si>
  <si>
    <t>Verify lesson navigation</t>
  </si>
  <si>
    <t>1. Access any lesson in middle of section
2. Click "Next" button
3. Verify navigation to next lesson
4. Click "Previous" button
5. Verify navigation to previous lesson</t>
  </si>
  <si>
    <t>- Smooth transition animation
- Correct lesson loads
- CourseSidebar highlights current lesson</t>
  </si>
  <si>
    <t>- Section has ≥2 lessons</t>
  </si>
  <si>
    <t>[Learning - 7]</t>
  </si>
  <si>
    <t>Verify quiz taking functionality</t>
  </si>
  <si>
    <t>1. Navigate to quiz item
2. Click "Start Quiz"
3. Answer all questions
4. Submit quiz
5. View results</t>
  </si>
  <si>
    <t>- Redirects to /student/quiz/{quizId}/take
- Timer displays
- Can select answers
- Submit enabled only when all answered
- Score calculated: must pass passPercent threshold</t>
  </si>
  <si>
    <t xml:space="preserve">- Quiz has ≥1 question
- Student enrolled in course
</t>
  </si>
  <si>
    <t>[Learning - 8]</t>
  </si>
  <si>
    <t>Verify progress calculation accuracy</t>
  </si>
  <si>
    <t>1. Start new course (0% progress)
2. Complete 1 lesson
3. Check progress percentage
4. Complete entire section
5. Verify progress updates</t>
  </si>
  <si>
    <t xml:space="preserve">- Progress bar updates in real-time
- CourseSidebar shows percentage
</t>
  </si>
  <si>
    <t xml:space="preserve">- Course has countable items
- Student enrolled
</t>
  </si>
  <si>
    <t>[Learning - 9]</t>
  </si>
  <si>
    <t>Verify sidebar course navigation</t>
  </si>
  <si>
    <t>1. Open learning page
2. Click different sections in sidebar
3. Jump to specific lesson
4. Verify responsive behavior (mobile)</t>
  </si>
  <si>
    <t>- Sidebar shows all sections
- Current lesson highlighted
- Clicking navigates correctly
- Completed items show checkmark icon</t>
  </si>
  <si>
    <t>- Learning page loaded</t>
  </si>
  <si>
    <t>[Learning - 10]</t>
  </si>
  <si>
    <t>Verify enrollment validation</t>
  </si>
  <si>
    <t>1. Login as Student A
2. Get courseId of course NOT enrolled
3. Manually navigate to /student/learn/{courseId}
4. Check response</t>
  </si>
  <si>
    <t>- Error message: "Bạn chưa đăng ký khóa học này"
- Redirect to course detail or error page
- No course content exposed</t>
  </si>
  <si>
    <t>- Student NOT enrolled in test course
- Course exists and is published</t>
  </si>
  <si>
    <t>[Learning - 12]</t>
  </si>
  <si>
    <t>Verify section-specific view</t>
  </si>
  <si>
    <t>1. Access /student/learn/{courseId}/section/{sectionId}
2. Verify section content display
3. View section description
4. Access lessons from section view</t>
  </si>
  <si>
    <t>- Section title and description shown
- All section items listed
- Progress for this section displayed
- Can navigate to lessons</t>
  </si>
  <si>
    <t>- Valid sectionId
- Section has content</t>
  </si>
  <si>
    <t>[Learning - 13]</t>
  </si>
  <si>
    <t>Verify course completion flow</t>
  </si>
  <si>
    <t>1. Complete all lessons/quizzes
2. Complete final item
3. Check for rating modal
4. Submit rating</t>
  </si>
  <si>
    <t>- Progress reaches 100%
- Rating modal appears (RatingModal component)
- Can rate 1-5 stars
- Can leave review text
- Rating saved to database</t>
  </si>
  <si>
    <t>- All course items completable
- Student completes all</t>
  </si>
  <si>
    <t>[Learning - 14]</t>
  </si>
  <si>
    <t>Verify bookmark functionality</t>
  </si>
  <si>
    <t>1. Start lesson in section 2
2. Close browser/logout
3. Login again
4. Navigate to "My Courses"
5. Click course</t>
  </si>
  <si>
    <t xml:space="preserve">- System remembers last accessed lesson
- "Continue Learning" button appears
- Clicking resumes from last position
</t>
  </si>
  <si>
    <t>- Student has started course previously
- Progress tracking enabled</t>
  </si>
  <si>
    <t>Perform the functionalities of role Lecturer</t>
  </si>
  <si>
    <t>Create Course</t>
  </si>
  <si>
    <t>[Create Course - 1]</t>
  </si>
  <si>
    <t>Test navigation to course creation page 
from side menu</t>
  </si>
  <si>
    <t xml:space="preserve">1. Login to the system with approved
Lecturer credentials
2. Locate "Khóa học" menu item in the
left side menu
3. Click on "Khóa học"
4. Verify course management page loads
5. Locate "Tạo khóa học mới" button in
the top right corner
6. Verify button is visible and enabled
</t>
  </si>
  <si>
    <t>- "Khóa học" menu item is visible in side menu
- "Khóa học" menu item is clickable
- Course management page loads within 3 
seconds
- Page displays existing courses (if any) or
empty state
- "Tạo khóa học mới" button is visible in top
right
- "Tạo khóa học mới" button is enabled and
clickable
- No console errors occur
- Course creation form appears as modal or
new page</t>
  </si>
  <si>
    <t xml:space="preserve">- User has valid Lecturer account
- User has logged into the system
successfully
- User's application to be Lecturer has
been approved
</t>
  </si>
  <si>
    <t>[Create Course - 2]</t>
  </si>
  <si>
    <t>Test course creation form display</t>
  </si>
  <si>
    <t xml:space="preserve">1. Complete steps from [Course - 1]
2. Click "Tạo khóa học mới" button
3. Observe the form that appears
4. Verify all form fields are present
5. Verify form layout matches design
</t>
  </si>
  <si>
    <t xml:space="preserve">- Form displays clearly with proper layout
- All required fields are marked with asterisk (*) or "Required" label
- Form includes fields for:
Course title
(required)
* Course description
(required)
* Course category
(required)
- Form has "Tạo khóa học" button
- Form has "Hủy" button to close </t>
  </si>
  <si>
    <t>- [Create Course - 1] passed successfully
- User is on course management page</t>
  </si>
  <si>
    <t>[Create Course - 3]</t>
  </si>
  <si>
    <t>Test creating course with all required field filled correctly</t>
  </si>
  <si>
    <t>1. Open course creation form (complete [Course - 2 ])
2. Enter course title: "Kiểm thử phần mềm nâng cao"
3. Enter course description: "Khóa học chuyên sâu về các kỹ thuật kiểm thử phần
mềm hiện đại, bao gồm kiểm thử tự động, course list or course kiểm thử hiệu năng và kiểm thử bảo mật"
4. Select category: "Học IT"
5. Select subcategory: "C++"
6. Upload an image
7. Click "Tạo khóa học" button
8. Wait for processing</t>
  </si>
  <si>
    <t>- All form fields accept input without errors
- No validation errors appear
- Form submits successfully
- Success toast notification appears with message like "Tạo khóa học thành công"
- Newest course appears on the top of the list
- Course status is displayed as "Nháp"
- Course shows "pen icon" for editing
- Course shows "eye icon" for preview</t>
  </si>
  <si>
    <t>- [Create Course - 2] passed successfully
- User has valid test data prepared</t>
  </si>
  <si>
    <t>[Create Course - 4]</t>
  </si>
  <si>
    <t>Test creating course with minimum valid length for text fields</t>
  </si>
  <si>
    <t>1. Open course creation form
2. Enter course title with minimum
allowed characters (test boundary: 5
characters): "Testing"
3. Enter course description with
minimum allowed characters (test
boundary: 20 characters): "Software
testing intro"
4. Select valid category, subcategory
5. Click "Tạo khóa học" button</t>
  </si>
  <si>
    <t xml:space="preserve">- Form accepts minimum valid length
- No validation errors for minimum boundary
- Course is created successfully with "Nháp" status
- Success notification appears
- All entered data is saved correctly
</t>
  </si>
  <si>
    <t>- [Create Course - 2] passed successfully</t>
  </si>
  <si>
    <t>[Create Course - 5]</t>
  </si>
  <si>
    <t>Test creating course with maximum valid length for text fields</t>
  </si>
  <si>
    <t>1. Open course creation form
2. Enter course title at maximum allowed
length (test boundary: assume 200
characters)
3. Enter course description at maximum
allowed length (test boundary: assume
5000 characters)
4. Select valid category, subcategory
5. Fill other required fields
6. Click "Tạo khóa học" button</t>
  </si>
  <si>
    <t xml:space="preserve">- Form accepts maximum valid length without truncation
- No validation errors
- Course is created successfully
- All text is saved completely without data loss
</t>
  </si>
  <si>
    <t>[Create Course - 6]</t>
  </si>
  <si>
    <t>Test creating course with special characters in allowed fields</t>
  </si>
  <si>
    <t>1. Open course creation form
2. Enter course title with special
characters: "Lập trình C++ &amp; Python:
From Zero to Hero!"
3. Enter description with special
characters including: periods, commas,
semicolons, quotes, parentheses,
Vietnamese characters with diacritics
4. Fill other required fields
5. Click "Tạo khóa học" button</t>
  </si>
  <si>
    <t>- Form accepts valid special characters Vietnamese characters (á, à, ả, ã, ạ, ă, ắ, etc.) are handled correctly
- Common punctuation marks are accepted
- Course is created successfully
- Special characters are displayed correctly (no encoding issues)
- No XSS vulnerabilities (special characters are properly escaped)</t>
  </si>
  <si>
    <t>[Create Course - 7]</t>
  </si>
  <si>
    <t>Test creating course with empty required field - Course Title</t>
  </si>
  <si>
    <t>1. Open course creation form
2. Leave course title field EMPTY
3. Fill all other required fields with valid
data
4. Click "Tạo khóa học" button
5. Observe validation behavior</t>
  </si>
  <si>
    <t>- Form does NOT submit
- Validation error message appears near course title field
- Error message is clear: "Tiêu đề khóa học là bắt buộc" or similar
- User remains on the form
- No course is created in database
- Other field values are retained (not cleared)
- Form does NOT submit</t>
  </si>
  <si>
    <t>[Create Course - 8]</t>
  </si>
  <si>
    <t>Test creating course with empty required field - Course Description</t>
  </si>
  <si>
    <t>1. Open course creation form
2. Fill course title with valid data
3. Leave course description field EMPTY
4. Fill all other required fields
5. Click "Tạo khóa học" button</t>
  </si>
  <si>
    <t>- Form does NOT submit
- Validation error appears: "Mô tả khóa học là bắt buộc"
- Description field is highlighted with error styling
- User remains on form
- No course is created
- All entered data in other fields is preserved submit</t>
  </si>
  <si>
    <t>[Create Course - 9]</t>
  </si>
  <si>
    <t>Test creating course with empty required field - Category</t>
  </si>
  <si>
    <t>1. Open course creation form
2. Fill course title with valid data
3. Leave category selection empty
4. Fill all other required fields
5. Click "Tạo khóa học" button</t>
  </si>
  <si>
    <t>[Create Course - 10]</t>
  </si>
  <si>
    <t>Test creating course with ALL required fields empty</t>
  </si>
  <si>
    <t>- Each empty required field shows individual error message
- All required fields are highlighted with error styling
- Error messages are clear and specific to each field
- No course is created
- User can see all errors without scrolling (or form scrolls to first
error)</t>
  </si>
  <si>
    <t>Update course content</t>
  </si>
  <si>
    <t>[Update course - 1]</t>
  </si>
  <si>
    <t>Test accessing course edit mode via pen icon</t>
  </si>
  <si>
    <t>1. Navigate to course list
2. Locate a draft course (e.g., "Khóa học dùng AI")
3. Click the pen (edit) icon</t>
  </si>
  <si>
    <t>- System navigates to course editing interface
- URL changes to course edit page
- Course editing page loads successfully</t>
  </si>
  <si>
    <t>- At least one draft course exists</t>
  </si>
  <si>
    <t>[Update course  - 2]</t>
  </si>
  <si>
    <t>Test course editing interface layout</t>
  </si>
  <si>
    <t>1. Access course edit page
2. Observe page structure and components</t>
  </si>
  <si>
    <t>- Page displays course name "System test" at top
- Subtitle shows "Chỉnh sửa chi tiết khóa học"
- Progress indicator shows "Tiến độ hoàn thành: 33%" in top right
- Progress bar displays yellow color at 33%
- "Quay lại khóa học" back button in top left
- Left sidebar shows "QUẢN LÝ NỘI DUNG KHÓA HỌC" heading
- Right content area shows current section content</t>
  </si>
  <si>
    <t>- User is on course edit page</t>
  </si>
  <si>
    <t>[Update course  - 3]</t>
  </si>
  <si>
    <t>Test sidebar navigation menu structure</t>
  </si>
  <si>
    <t>1. Access course edit page
2. Examine left sidebar menu items</t>
  </si>
  <si>
    <t>- Menu displays 4 main items in order:   
   1. "Trang giới thiệu" - with checkmark icon (green) and "Đã hoàn thành" status   
   2. "Khung chương trình" - with number "2" icon (yellow highlight)   
   3. "Giá khóa học" - with number "3" icon   
   4. "Phiếu giảm giá" - with tag icon and "(Tùy chọn)" label
- Current section is highlighted in yellow
- Completed sections show green checkmark icon
- Incomplete sections show gray numbered icons</t>
  </si>
  <si>
    <t>[Update course  - 4]</t>
  </si>
  <si>
    <t>Test progress overview section</t>
  </si>
  <si>
    <t>1. Access course edit page
2. Locate "Tổng quan tiến độ" section in sidebar</t>
  </si>
  <si>
    <t>- Section displays "Tổng quan tiến độ" heading
- Shows completion status: "Đã hoàn thành: 1/3 bước"
- Text is in orange/yellow color
- Clearly indicates only 1 out of 3 steps completed</t>
  </si>
  <si>
    <t>- User is on course edit page with basic info completed</t>
  </si>
  <si>
    <t>[Update course  - 5]</t>
  </si>
  <si>
    <t>Test course publication readiness section</t>
  </si>
  <si>
    <t>1. Access course edit page
2. Locate "Đề xuất khóa học" section at bottom of sidebar</t>
  </si>
  <si>
    <t>- Section displays paper plane icon
- Shows text: "Đề xuất khóa học"
- Shows requirement: "Hoàn thành 67% để đề xuất"
- Section is grayed out/disabled when incomplete5. Indicates course cannot be submitted yet</t>
  </si>
  <si>
    <t>- Course is not yet complete (less than 100% progress)</t>
  </si>
  <si>
    <t>[Update course  - 6]</t>
  </si>
  <si>
    <t>Test back navigation button</t>
  </si>
  <si>
    <t>1. Access course edit page
2. Click "Quay lại khóa học" button
3. Observe navigation behavior</t>
  </si>
  <si>
    <t>- Button is clickable with left arrow icon
- System navigates back to course list page
- No unsaved changes are lost (or warning appears if changes exist)
- User returns to "Quản lý khóa học" page</t>
  </si>
  <si>
    <t>[Update course  - 7]</t>
  </si>
  <si>
    <t>Test editing course name</t>
  </si>
  <si>
    <t>1. Navigate to "Trang giới thiệu"
2. Click on "Tên khóa học" field
3. Modify text to: "System test - Updated"
4. Click on "Mô tả khóa học" field
5. Modify description text
6. Click category dropdown
7. Select different category
8. Click category dropdown
9. Select different subcategory
10. Click "Chọn ảnh" or change image button
11. Select new image file
12. Click "Lưu" button</t>
  </si>
  <si>
    <t xml:space="preserve">- All fiedls are updated
- Toast success show up
 </t>
  </si>
  <si>
    <t>- User is on introduction page</t>
  </si>
  <si>
    <t>[Update course  - 8]</t>
  </si>
  <si>
    <t>Test accessing course structure page</t>
  </si>
  <si>
    <t>1. Access course edit page
2. Click "Khung chương trình" in sidebar</t>
  </si>
  <si>
    <t>- Course structure page displays
- Heading shows "Nội dung khóa học"
- Shows "0 chương" count
- "Chương mới" button visible in top right
- Menu item "Khung chương trình" is highlighted</t>
  </si>
  <si>
    <t>[Update course  - 9]</t>
  </si>
  <si>
    <t>Test empty state for course sections</t>
  </si>
  <si>
    <t>1. Access "Khung chương trình" page
2. Observe empty state when no sections exist</t>
  </si>
  <si>
    <t>- Empty state message displays:   - Document icon shown   - Text: "Chưa có chương nào"   - Subtitle: "Bắt đầu tạo chương đầu tiên"
- "Tạo chương" button displayed in dashed border area
- Clear call-to-action to create first section</t>
  </si>
  <si>
    <t>[Update course  - 10]</t>
  </si>
  <si>
    <t>Test opening create section dialog</t>
  </si>
  <si>
    <t>1. Access "Khung chương trình" page
2. Click "+ Tạo chương" button</t>
  </si>
  <si>
    <t>- Create section dialog/form appears
- Form contains:   
+ "Tên bài học" input field   
+ "Mô tả bài học" textarea   
+ "Thêm bài học" button   
+ "Hủy" button</t>
  </si>
  <si>
    <t>[Update course  - 11]</t>
  </si>
  <si>
    <t>Test section creation validation - empty title</t>
  </si>
  <si>
    <t>1. Open create section dialog
2. Leave "Tên chương" field empty
3. Enter optional description
4. Click "Lưu" button</t>
  </si>
  <si>
    <t xml:space="preserve"> -Form does not submit
- Validation error appears for "Tên chương"
- Error message indicates title is required
- Dialog remains open</t>
  </si>
  <si>
    <t>[Update course  - 12]</t>
  </si>
  <si>
    <t>Test section creation - valid data</t>
  </si>
  <si>
    <t>1. Open create section dialog
2. Enter "Tên chương": "Chương 1: Hello world"
3. Leave description empty (optional)
4. Click "Lưu" button</t>
  </si>
  <si>
    <t>- Form validates successfully
- Dialog closes
- Section is created and appears in course structure
- Success toast notification appears
- Empty state disappears</t>
  </si>
  <si>
    <t>[Update course  - 13]</t>
  </si>
  <si>
    <t>Test creating multiple sections</t>
  </si>
  <si>
    <t>1. Create first section: "Chương 1: Hello world"
2. Click "Chương mới" again
3. Create second section with different title
4. Observe section numbering</t>
  </si>
  <si>
    <t>- Multiple sections can be created
- Each section has unique number (1, 2, 3...)
- Sections appear in order of creation
- Section count updates (e.g., "2 chương")</t>
  </si>
  <si>
    <t>- Create section dialog is open</t>
  </si>
  <si>
    <t>[Update course  - 14]</t>
  </si>
  <si>
    <t>Test opening content type selection</t>
  </si>
  <si>
    <t>1. Navigate to "Khung chương trình"
2. Expand a section
3. Click "+ Thêm nội dung" button</t>
  </si>
  <si>
    <t>- Content type selection dialog appears
- Dialog shows "Chọn loại nội dung:" label
- Two options displayed:   - "Bài học" card with document icon and subtitle "Video hoặc văn bản"   - "Quiz" card with question icon and subtitle "Bài kiểm tra"
- "Hủy" button at bottom
- Cards are clickable</t>
  </si>
  <si>
    <t>- At least one section exists</t>
  </si>
  <si>
    <t>[Update course  - 15]</t>
  </si>
  <si>
    <t>Test selecting "Bài học" content type</t>
  </si>
  <si>
    <t>1. Open content type selection dialog
2. Click on "Bài học" card</t>
  </si>
  <si>
    <t>- Dialog closes
- Lesson creation form appears
- Form transitions smoothly from selection to creation</t>
  </si>
  <si>
    <t>- Content type selection is displayed</t>
  </si>
  <si>
    <t>[Update course  - 16]</t>
  </si>
  <si>
    <t>Test selecting "Quiz" content type</t>
  </si>
  <si>
    <t>1. Open content type selection dialog
2. Click on "Quiz" card</t>
  </si>
  <si>
    <t>- Dialog closes
- Quiz creation form appears
- Form is different from lesson form
- Quiz-specific fields are displayed</t>
  </si>
  <si>
    <t>[Update course  - 17]</t>
  </si>
  <si>
    <t>Test video lesson form display</t>
  </si>
  <si>
    <t>1. Select "Bài học" content type
2. Observe lesson creation form</t>
  </si>
  <si>
    <t>- Form displays with title area showing section name
- Form contains fields:   
+ "Tên bài học" input  
+ "Mô tả bài học" textarea   
+ Content type dropdown (Video/Văn bản)   
+ "Miễn phí" checkbox   
+ Video upload section   
+ "Tài liệu PDF (tùy chọn)" section
- "Thêm bài học" and "Hủy" buttons at bottom</t>
  </si>
  <si>
    <t>- Lesson form is displayed</t>
  </si>
  <si>
    <t>[Update course  - 18]</t>
  </si>
  <si>
    <t>Test video lesson form validation - empty fields</t>
  </si>
  <si>
    <t>1. Open lesson creation form
2. Select "Video" content type
3. Leave all fields empty
4. Click "Thêm bài học"</t>
  </si>
  <si>
    <t>- Form does not submit
+ Validation errors appear for:   
+ "Tên bài học" (required)   
+ Video upload (required)
- Error messages are clear
- Form remains open</t>
  </si>
  <si>
    <t>[Update course  - 19]</t>
  </si>
  <si>
    <t>Test text lesson form with rich editor</t>
  </si>
  <si>
    <t>1. Select "Bài học" content type
2. Select "Văn bản" in content type dropdown
3. Observe form display</t>
  </si>
  <si>
    <t>- Video upload section is hidden
- Rich text editor appears
- Editor shows formatting toolbar with buttons, alignment,..
- Editor shows placeholder: "Nhập nội dung bài học..."
- Editor is empty and ready for input</t>
  </si>
  <si>
    <t>[Update course  - 20]</t>
  </si>
  <si>
    <t>Test text lesson validation - empty content</t>
  </si>
  <si>
    <t>1. Open text lesson form
2. Enter title and description
3. Select "Văn bản" type
4. Leave editor empty
5. Click "Thêm bài học"</t>
  </si>
  <si>
    <t>- Form validation fails
- Error message indicates content is required
- Editor is highlighted or marked
- Form does not submit</t>
  </si>
  <si>
    <t>- Text editor displayed</t>
  </si>
  <si>
    <t>[Update course  - 21]</t>
  </si>
  <si>
    <t>Test quiz creation form display</t>
  </si>
  <si>
    <t>1. Select "Quiz" content type
2. Observe quiz creation form</t>
  </si>
  <si>
    <t>- Quiz form displays with fields:   
+ "Tên quiz" input   
+ "Mô tả quiz" textarea   
+ "Điểm đạt (%)" number input   
+ "Thời gian (phút)" number input
- "Tạo quiz" and "Hủy" buttons displayed</t>
  </si>
  <si>
    <t>- Quiz form is open</t>
  </si>
  <si>
    <t>[Update course  - 22]</t>
  </si>
  <si>
    <t>Test quiz form validation - empty fields</t>
  </si>
  <si>
    <t>1. Open quiz creation form
2. Leave all fields empty
3. Click "Tạo quiz"</t>
  </si>
  <si>
    <t>- Form does not submit
- Validation errors appear for required fields
- Error messages are clear</t>
  </si>
  <si>
    <t>[Update course  - 23]</t>
  </si>
  <si>
    <t>Test creating quiz successfully</t>
  </si>
  <si>
    <t>1. Open quiz creation form
2. Fill all required fields with valid data
3. Click "Tạo quiz"</t>
  </si>
  <si>
    <t>- Form validates successfully
- Quiz is created
- Success notification appears
- Quiz appears in section
- Section shows updated item count</t>
  </si>
  <si>
    <t>- All fields filled correctly</t>
  </si>
  <si>
    <t>Question addition is separate workflow</t>
  </si>
  <si>
    <t>[Update course  - 24]</t>
  </si>
  <si>
    <t>Test initial pricing status display</t>
  </si>
  <si>
    <t>1. Access pricing page for course without price set
2. Observe "Giá hiện tại" section</t>
  </si>
  <si>
    <t>- Status section shows:   
+ Green dollar sign icon   
+ "Giá hiện tại" heading   
+ "Khóa học chưa được định giá" message in green
- Guidelines displayed:   
+ "Khóa học trả phí nên có giá trị rõ ràng và nội dung chất lượng"   
+ "Bạn có thể thay đổi giá sau khi xuất bán"</t>
  </si>
  <si>
    <t>- Course has no price set</t>
  </si>
  <si>
    <t>[Update course  - 25]</t>
  </si>
  <si>
    <t>Test pricing type options display</t>
  </si>
  <si>
    <t>1. Access pricing page
2. Locate "Loại giá" section</t>
  </si>
  <si>
    <t>- Section displays with red asterisk (required)
- Two radio button options:   
+ "Miễn phí" with subtitle "Không yêu cầu thanh toán"   
+ "Trả phí" with subtitle "Yêu cầu thanh toán"
- One option can be selected at a time</t>
  </si>
  <si>
    <t>- Pricing page displayed</t>
  </si>
  <si>
    <t>[Update course  - 26]</t>
  </si>
  <si>
    <t>Test selecting "Miễn phí" option</t>
  </si>
  <si>
    <t>1. Access pricing page
2. Click "Miễn phí" radio button
3. Observe form changes</t>
  </si>
  <si>
    <t>- "Miễn phí" option is selected
- Price input field is disabled or hidden
- Warning message appears: "Bạn chưa lưu giá khóa học. Nhấn nút bên dưới để lưu thay đổi."
- "Lưu thay đổi" button remains enabled</t>
  </si>
  <si>
    <t>[Update course  - 27]</t>
  </si>
  <si>
    <t>Test selecting "Trả phí" option</t>
  </si>
  <si>
    <t>1. Access pricing page
2. Click "Trả phí" radio button
3. Observe form changes</t>
  </si>
  <si>
    <t>- "Trả phí" option is selected
- "Giá khóa học (VNĐ)" input field appears/enables
- Placeholder text: "Nhập giá khóa học (ví dụ: 100000)"
- Suggested price buttons appear: 99,000đ, 199,000đ, 299,000đ, 499,000đ, 999,000đ5. "Gợi ý mức giá phổ biến:" label shown</t>
  </si>
  <si>
    <t>[Update course  - 28]</t>
  </si>
  <si>
    <t>Test saving free pricing</t>
  </si>
  <si>
    <t>1. Select "Miễn phí" option
2. Click "Lưu thay đổi" button</t>
  </si>
  <si>
    <t>- Form submits successfully
- Success toast appears: "Cập nhật giá khóa học thành công!" or similar
- "Giá hiện tại" section updates to show:   + "Miễn phí"   + "Học viên có thể đăng ký miễn phí"
- Warning message disappears5. Progress may update</t>
  </si>
  <si>
    <t>- "Miễn phí" selected</t>
  </si>
  <si>
    <t>[Update course  - 29]</t>
  </si>
  <si>
    <t>Test saving paid pricing with valid price</t>
  </si>
  <si>
    <t>1. Select "Trả phí" option
2. Enter valid price: "100000" or use suggested price
3. Click "Lưu thay đổi"</t>
  </si>
  <si>
    <t>- Form submits successfully
- Success toast appears: "Cập nhật giá khóa học thành công!"
- "Giá hiện tại" section updates to show the set price
- Warning message disappears
- Price is saved and displayed
- Progress indicator may update</t>
  </si>
  <si>
    <t>- Valid price entered</t>
  </si>
  <si>
    <t>[Update course  - 30]</t>
  </si>
  <si>
    <t>Test editing existing section</t>
  </si>
  <si>
    <t>1. Navigate to course structure
2. Locate existing section
3. Click edit (pen) icon on section</t>
  </si>
  <si>
    <t>- Section edit form opens
- Current section data is pre-filled
- Title and description can be modified
- Changes can be saved5. Section updates successfully</t>
  </si>
  <si>
    <t>- Course with at least one section exists</t>
  </si>
  <si>
    <t>Test deleting section</t>
  </si>
  <si>
    <t>1. Navigate to course structure
2. Locate section to delete
3. Click delete (trash) icon on section</t>
  </si>
  <si>
    <t>- Confirmation dialog appears
- Warning about deleting all content in section
- Can confirm or cancel deletion
- If confirmed, section and all lessons are deleted
- Section count updates
- Success notification appears</t>
  </si>
  <si>
    <t>Test editing existing lesson</t>
  </si>
  <si>
    <t>1. Navigate to section with lessons
2. Click edit icon on lesson
3. Modify lesson content
4. Save changes</t>
  </si>
  <si>
    <t>- Navigate to section with lessons
- Click edit icon on lesson
- Modify lesson content
- Save changes</t>
  </si>
  <si>
    <t>- Section with at least one lesson exists</t>
  </si>
  <si>
    <t>Test deleting lesson</t>
  </si>
  <si>
    <t>1. Navigate to section with lessons
2. Click delete icon on lesson
3. Confirm deletion</t>
  </si>
  <si>
    <t>1. Confirmation dialog appears
2. Lesson is deleted after confirmation
3. Section item count decreases
4. Success notification appears5. Lesson is removed from view</t>
  </si>
  <si>
    <t>[Update course  - 31]</t>
  </si>
  <si>
    <t>Test unpublish course</t>
  </si>
  <si>
    <t>1. Navigate to course list
2. Locate draft course
3. Click delete (trash) icon
4. Confirm deletion</t>
  </si>
  <si>
    <t>-  Confirmation dialog appears
- Warning about permanent deletion
- Course is deleted after confirmation
- Course removed from list
- Course statistics update
- Success notification appears</t>
  </si>
  <si>
    <t>- At least one publish course exists</t>
  </si>
  <si>
    <t>Course Progress Tracking and Completion</t>
  </si>
  <si>
    <t>[Progress Tracking - 1]</t>
  </si>
  <si>
    <t>Test "Đề xuất khóa học" button enabled at 100%</t>
  </si>
  <si>
    <t>1. Complete all course requirements (100%)
2. Locate "Đề xuất khóa học" section</t>
  </si>
  <si>
    <t>- Button changes to enabled state
- Green background color
- Text: "Đề xuất khóa học"
- Button is clickable5. Hover state shows interaction possibility</t>
  </si>
  <si>
    <t>- 100% progress achieved</t>
  </si>
  <si>
    <t>[Progress Tracking - 2]</t>
  </si>
  <si>
    <t>Test submitting course for approval</t>
  </si>
  <si>
    <t>1. Complete course to 100%
2. Click "Đề xuất khóa học" button
3. Confirm submission if dialog appears</t>
  </si>
  <si>
    <t>- Confirmation dialog may appear
- Course status changes from "Nháp" to "Chờ duyệt"
- Success notification appears
- Course can no longer be edited (or editing is restricted)
- Submission is recorded
- User is redirected or stays on page with updated status</t>
  </si>
  <si>
    <t>- "Đề xuất khóa học" clicked</t>
  </si>
  <si>
    <t>[Progress Tracking - 3]</t>
  </si>
  <si>
    <t>Test "Đề xuất khóa học" button state when incomplete</t>
  </si>
  <si>
    <t>1. Create course with less than 100% completion
2. Locate "Đề xuất khóa học" section</t>
  </si>
  <si>
    <t>- Button/section shows disabled state
- Text displays: "Hoàn thành 100% để đề xuất"
- Gray color indicates unavailable
- Button cannot be clicked
- Clear indication that more completion required</t>
  </si>
  <si>
    <t>- Progress less than 100%</t>
  </si>
  <si>
    <t>[Progress Tracking - 4]</t>
  </si>
  <si>
    <t>1. Complete course to 100%
2. Click "Đề xuất khóa học" button</t>
  </si>
  <si>
    <t>- Confirmation dialog may appear
- Course status changes from "Nháp" to "Chờ duyệt"
- Success notification appears
- Course can no longer be edited (editing is restricted)
- Submission is recorded
- User is redirected to the course list</t>
  </si>
  <si>
    <t>Unpublish course</t>
  </si>
  <si>
    <t>[Unpublish course  - 31]</t>
  </si>
  <si>
    <t>Quiz Question Management</t>
  </si>
  <si>
    <t>[Quiz - 1]</t>
  </si>
  <si>
    <t>Test accessing question management from quiz</t>
  </si>
  <si>
    <t>1. Navigate to course structure page
2. Locate an existing quiz (e.g., "quiz 1")
3. Click "+ Thêm câu hỏi" button on the quiz</t>
  </si>
  <si>
    <t>- Question bank drawer opens from right side
- Drawer displays heading "Ngân hàng câu hỏi"
- Shows summary: "1 chương • 9 câu hỏi"
- "Tạo mới thủ công" button visible in top right (yellow)
- Search box "Tìm kiếm câu hỏi..." is displayed
- "Quay lại" back button visible</t>
  </si>
  <si>
    <t>- Quiz exists in section
- Quiz created with title, pass percentage (70%), and timer (15 phút)</t>
  </si>
  <si>
    <t>[Quiz - 2]</t>
  </si>
  <si>
    <t>Test empty question bank state</t>
  </si>
  <si>
    <t>1. Create new quiz in empty course
2. Click "+ Thêm câu hỏi"
3. Observe empty state display</t>
  </si>
  <si>
    <t>- Question bank drawer opens
- Shows "0 chương • 0 câu hỏi"
- Empty state message displays:   + "Chưa có câu hỏi nào"   + Prompt to create first question
- "Tạo mới thủ công" button is primary action
- No question list displayed</t>
  </si>
  <si>
    <t>- Quiz exists but no questions created yet
- Question bank is empty</t>
  </si>
  <si>
    <t>Quick Selection Tools</t>
  </si>
  <si>
    <t>[Question Select - 1]</t>
  </si>
  <si>
    <t>Test "Tất cả" selection button</t>
  </si>
  <si>
    <t>1. Open question bank
2. Click "Tất cả (9)" button in "Chọn cơ bản"</t>
  </si>
  <si>
    <t>- All questions in the list are selected automatically
- Checkboxes for all questions become checked
- Selected questions highlight (blue background)
- Count indicator updates
- "Thêm câu hỏi" button shows total count in parentheses</t>
  </si>
  <si>
    <t>- Question bank has questions</t>
  </si>
  <si>
    <t>[Question Select - 2]</t>
  </si>
  <si>
    <t>Test "Chọn nhanh theo số lượng" quick quantity selection</t>
  </si>
  <si>
    <t>1. Open question bank
2. Locate "Chọn nhanh theo số lượng" section
3. Observe quantity buttons</t>
  </si>
  <si>
    <t>- Section displays number buttons:   - "5", "10", "15", "20", "25"
- Custom number input field shows default "5"
- Two mode buttons below:   
+ "Đầu tiên" with checkmark   
+ "Ngẫu nhiên" with shuffle icon</t>
  </si>
  <si>
    <t>[Question Select - 3]</t>
  </si>
  <si>
    <t>Test custom quantity input</t>
  </si>
  <si>
    <t>1. Open question bank
2. Click in custom number input field
3. Enter custom number (e.g., "7")
4. Press Enter</t>
  </si>
  <si>
    <t>- Input field accepts numeric value
- Value appears in field
- Corresponding number of questions are selected
- Selection follows current mode (Đầu tiên/Ngẫu nhiên)</t>
  </si>
  <si>
    <t>- Question bank has sufficient questions</t>
  </si>
  <si>
    <t>[Question Select - 4]</t>
  </si>
  <si>
    <t>Test "Đầu tiên" (first) selection mode</t>
  </si>
  <si>
    <t>1. Open question bank
2. Select "Đầu tiên" mode button
3. Choose quantity (e.g., "10")</t>
  </si>
  <si>
    <t>- "Đầu tiên" button shows active/selected state
- First 10 questions from top of list are selected
- Questions selected in sequential order
- Selection follows question numbering (#1, #2, #3...)</t>
  </si>
  <si>
    <t>[Question Select - 5]</t>
  </si>
  <si>
    <t>Test "Ngẫu nhiên" (random) selection mode</t>
  </si>
  <si>
    <t>1. Open question bank
2. Select "Ngẫu nhiên" mode button
3. Choose quantity (e.g., "10")
4. Observe selection pattern</t>
  </si>
  <si>
    <t>- "Ngẫu nhiên" button shows active state
- 10 questions are selected randomly
- Selection order is not sequential
- Random questions from different positions are selected
- Exact questions may vary on repeated attempts</t>
  </si>
  <si>
    <t>Manual Question Creation</t>
  </si>
  <si>
    <t>[Manual - 1]</t>
  </si>
  <si>
    <t>Test opening manual question creation form</t>
  </si>
  <si>
    <t>1. Open question bank drawer
2. Click "Tạo mới thủ công" button (yellow button in top right)</t>
  </si>
  <si>
    <t>- Manual question creation form appears
- Drawer transitions to creation form
- Form displays title "Tạo câu hỏi mới"
- Close (X) button visible in top right
- Form shows all required fields</t>
  </si>
  <si>
    <t>- Question bank drawer open</t>
  </si>
  <si>
    <t>[Manual - 2]</t>
  </si>
  <si>
    <t>Test question text editor</t>
  </si>
  <si>
    <t>1. Open manual creation form
2. Click in "Câu hỏi" editor
3. Type question text</t>
  </si>
  <si>
    <t>- Rich text editor displays with toolbar
- Placeholder: "Nhập câu hỏi của bạn..."
- Text can be formatted</t>
  </si>
  <si>
    <t>- Form is open</t>
  </si>
  <si>
    <t>[Manual - 3]</t>
  </si>
  <si>
    <t>Test successful single choice question creation</t>
  </si>
  <si>
    <t>1. Enter question text in editor
2. Select "Một đáp án đúng"
3. Enter answers A and B
4. Select answer A as correct
5. Click "Tạo câu hỏi"</t>
  </si>
  <si>
    <t>- Form validates successfully
- Question is created
- Success toast appears: "Thêm câu hỏi thành công"
- Second toast: "Câu hỏi đã được thêm!"
- Form closes
- Question appears in question bank
- Question is automatically added to current quiz</t>
  </si>
  <si>
    <t>- All required fields filled correctly</t>
  </si>
  <si>
    <t>[Manual - 4]</t>
  </si>
  <si>
    <t>Test successful multiple choice question creation</t>
  </si>
  <si>
    <t>1. Enter question text
2. Select "Nhiều đáp án đúng"
3. Enter 4 answers
4. Mark 2 answers as correct
5. Click "Tạo câu hỏi"</t>
  </si>
  <si>
    <t>- Form validates successfully (2 correct answers)
- Question is created3. Success toast: "Thêm câu hỏi thành công"
- Second toast: "Câu hỏi đã được thêm!"
- Form closes
- Question added to question bank
- Question added to current quiz</t>
  </si>
  <si>
    <t>- Multiple choice with 2+ correct answers</t>
  </si>
  <si>
    <t>Question Management</t>
  </si>
  <si>
    <t>[Question Management - 1]</t>
  </si>
  <si>
    <t>Test editing question from quiz</t>
  </si>
  <si>
    <t>1. Have quiz with questions
2. Click edit (pencil) icon on a question
3. Modify question
4. Save changes</t>
  </si>
  <si>
    <t>- Edit form opens with question data
- All fields are editable
- Changes can be saved
- Updated question displays in quiz
- Changes reflect in question bank</t>
  </si>
  <si>
    <t xml:space="preserve"> - Questions exist in quiz</t>
  </si>
  <si>
    <t>[Question Management - 2]</t>
  </si>
  <si>
    <t>Test deleting question from quiz</t>
  </si>
  <si>
    <t>1. Have quiz with questions
2. Click delete (trash) icon
3. Confirm deletion</t>
  </si>
  <si>
    <t>- Confirmation dialog appears
- Warning about removing question
- Question removed from quiz after confirmation
- Quiz question count decreases
- Question may remain in question bank</t>
  </si>
  <si>
    <t>- Questions exist in quiz</t>
  </si>
  <si>
    <t>[Question Management - 3]</t>
  </si>
  <si>
    <t>Test viewing question details in quiz</t>
  </si>
  <si>
    <t>1. Have quiz with added questions
2. Locate a question card
3. Click eye (view) icon</t>
  </si>
  <si>
    <t>1. View/preview modal
2. Shows complete question details
3. Can close preview
4. Read-only view</t>
  </si>
  <si>
    <t>AI assistant</t>
  </si>
  <si>
    <t>Perform of AI assistant for student learning</t>
  </si>
  <si>
    <t>AI response</t>
  </si>
  <si>
    <t>[AI -1]</t>
  </si>
  <si>
    <t>Verify AI response to video content summary request</t>
  </si>
  <si>
    <t>1. Open chat with AI assistant
2. Type: "Nội dung của video này là gì?"
3. Send message4. Observe response</t>
  </si>
  <si>
    <t>- AI provides comprehensive summary of video content- Response includes main topics: null, undefined in JavaScript
- Mentions 4 cases when undefined appears
- Mentions null vs undefined comparison
- Mentions Symbol data type
- Response in Vietnamese</t>
  </si>
  <si>
    <t>- Login as Student
- Own a course that has AI assist</t>
  </si>
  <si>
    <t>Verify AI response to irrelevant/nonsense input</t>
  </si>
  <si>
    <t>1. Open chat with AI assistant
2. Type: "123"
3. Send message
4. Observe response</t>
  </si>
  <si>
    <t>- AI recognizes irrelevant input
- Polite message indicating question is not related to lesson content
- Suggests asking different question about the subtitle content
- Response format: "Chào bạn, câu hỏi '123' không phải là một câu hỏi liên quan..."</t>
  </si>
  <si>
    <t>Verify AI response to explicit summary request</t>
  </si>
  <si>
    <t>1. Type: "Bạn có thể tóm tắt nội dung của video trên?"
2. Send message
3. Observe response</t>
  </si>
  <si>
    <t>- AI provides detailed summary
- Greeting: "Chào bạn, SkillUp đây"
- Summary covers all main points systematically
- Mentions undefined cases clearly
- Mentions null vs undefined comparison
- Includes Symbol characteristics</t>
  </si>
  <si>
    <t>Verify AI response to request for specific examples</t>
  </si>
  <si>
    <t>1. Type: "Bạn có thể cung cấp 1 ví dụ cụ thể không?"
2. Send message
3. Observe response</t>
  </si>
  <si>
    <t>- AI acknowledges the request politely
- Explains that subtitle content describes cases but doesn't provide code examples
- States lesson focuses on theory and definitions
- Response starts with "Chào bạn, SkillUp rất vui được hỗ trợ bạn"
- Honest about content limitations</t>
  </si>
  <si>
    <t>Previous conversation exists</t>
  </si>
  <si>
    <t>Verify multilingualism</t>
  </si>
  <si>
    <t>1. Type: "Can you summary this video ?"
2. Send message
3. Observe response</t>
  </si>
  <si>
    <t>- AI provides comprehensive summary of video content- Response includes main topics: null, undefined in JavaScript
- Mentions 4 cases when undefined appears
- Mentions null vs undefined comparison
- Mentions Symbol data type
- Response in Vietnamese"</t>
  </si>
  <si>
    <t>Check if the functionalities of System Moderator role work well.</t>
  </si>
  <si>
    <t>View Lecturer Applications</t>
  </si>
  <si>
    <t>[View Applications - 1]</t>
  </si>
  <si>
    <t xml:space="preserve">Verify application management interface
</t>
  </si>
  <si>
    <t>1. Login as Content Moderator with valid credentials
2. Navigate to "Quản lý ứng tuyển "
3. Observe page layout and content</t>
  </si>
  <si>
    <t>- Page loads without errors
- Page title displays: "Quản lý đơn ứng tuyển giảng viên"
- Application list table visible with columns: Name, Email, Phone, Status, Actions
- Status badges display correctly</t>
  </si>
  <si>
    <t>- Valid moderator account exists
- User has "Content Moderator" role assigned</t>
  </si>
  <si>
    <t>[View Applications - 2]</t>
  </si>
  <si>
    <t>Verify pending lecturer applications display in list</t>
  </si>
  <si>
    <t>1. Access Lecturer Application Management page
2. Observe applications with "Pending" status
3. Count visible pending applications
4. Verify action buttons present</t>
  </si>
  <si>
    <t>- Pending applications show amber/yellow "Chờ xử lý" badge
- Each pending row displays two action buttons: "Duyệt" (green) and "Từ chối" (red)
- All applicant information visible: Name, Email, Phone, Submission date</t>
  </si>
  <si>
    <t>- At least one pending lecturer application exists
- Lecturer has submitted registration form</t>
  </si>
  <si>
    <t>[View Applications - 3]</t>
  </si>
  <si>
    <t>Verify uploaded documents are accessible in detail view</t>
  </si>
  <si>
    <t>1. Open application detail modal
2. Locate "Tài liệu chứng nhận" section
3. Observe document list
4. Click on document to view/download</t>
  </si>
  <si>
    <t>- Document section displays list of uploaded files
- Each file shows: filename, file type icon, file size
- Download button or link available for each file
- Clicking opens document in new tab or downloads
- PDF files preview or download correctly
- Image files display thumbnail or preview</t>
  </si>
  <si>
    <t>Applicant uploaded qualification documents during registration</t>
  </si>
  <si>
    <t>Resovle Lecturer Applications</t>
  </si>
  <si>
    <t>[Resovle - 1]</t>
  </si>
  <si>
    <t>Verify approval with optional feedback message</t>
  </si>
  <si>
    <t>1. Open approve confirmation modal
2. Type feedback: "Hồ sơ đầy đủ, đạt yêu cầu"
3. Click "Xác nhận phê duyệt"
4. Observe completion</t>
  </si>
  <si>
    <t>- Text input accepted in textarea
- Submit button processes request
- Loading state displayed
- Success toast: "Phê duyệt giảng viên thành công!"
- Modal closes
- Application status changes to "Đã Chấp nhận"</t>
  </si>
  <si>
    <t>- Approve modal open</t>
  </si>
  <si>
    <t>[Resovle - 2]</t>
  </si>
  <si>
    <t>Verify rejection submission with valid reason</t>
  </si>
  <si>
    <t>1. Open reject modal
2. Enter valid rejection reason: "Kinh nghiệm giảng dạy chưa đủ 2 năm"
3. Click "Xác nhận từ chối"
4. Observe UI feedback</t>
  </si>
  <si>
    <t>- Button shows loading state: spinner and "Đang xử lý..."
- After completion:
- Success toast: "Từ chối đơn đăng ký thành công!"
- Toast has red/orange background
- Modal closes automatically
- Application status updates to "Từ chối" (red badge)
- Application moves to rejected section/filter
- List refreshes showing updated status</t>
  </si>
  <si>
    <t>Valid rejection reason entered</t>
  </si>
  <si>
    <t>Workflow of Content Moderator</t>
  </si>
  <si>
    <t>Check if the functionalities of Content Moderator role work well.</t>
  </si>
  <si>
    <t>Manage News Features</t>
  </si>
  <si>
    <t>[News - 1]</t>
  </si>
  <si>
    <t>View news management list</t>
  </si>
  <si>
    <t>1. Log in as Content Moderator.
2. Navigate to "Quản lý tin tức".</t>
  </si>
  <si>
    <t>1. The system displays a paginated table of news items.
2. The table must show columns for "Tiêu đề", "Email Tác giả", and "Ngày đăng", "Hành động".</t>
  </si>
  <si>
    <t>1. User must be logged in with a 'Content Moderator' account.
2. User must navigate to the 'News Management' section/page.
3. The system must have existing news data (created by various authors at different dates) for sorting, searching, updating, and deleting test cases.
4. Content Moderator account exists.</t>
  </si>
  <si>
    <t>[News - 2]</t>
  </si>
  <si>
    <t>Creating a new news item - Happy Path</t>
  </si>
  <si>
    <t>1. Click the "Thêm tin tức" button.
2. Fill in a valid Title.
3. Fill in the Content (text).
4. Upload one or more valid Images (e.g., .jpg, .png).
5. Click "Tạo".</t>
  </si>
  <si>
    <t>1. The news item is successfully created.
2. The system redirects back to the news list.
3. The newly created item appears at the top of the list (assuming default sort is 'newest first').</t>
  </si>
  <si>
    <t>Content Moderator account has 'Create' permissions.</t>
  </si>
  <si>
    <t>[News -3]</t>
  </si>
  <si>
    <t>Validation on Create (Missing Title)</t>
  </si>
  <si>
    <t>1. Click the "Thêm tin tức" button.
2. Leave  the Title blank.
3. Fill in the Content (text).
4. Upload one or more valid Images (e.g., .jpg, .png).
5. Click "Tạo".</t>
  </si>
  <si>
    <t>1. An toast validation warning ("Hãy điền đủ thông tin") appears.
2. The news item is not created.</t>
  </si>
  <si>
    <t>[News - 4]</t>
  </si>
  <si>
    <t>Editing an existing news item</t>
  </si>
  <si>
    <t>1. From the table, find a news item and click "Sửa".
2. Change the Title.
3. Modify the Content text.
4. Remove one image and add a new one.
5. Click "Lưu".</t>
  </si>
  <si>
    <t>1. The changes are saved successfully.
2. When viewing the list and the details, the new Title, Content, and Images are displayed.</t>
  </si>
  <si>
    <t>At least one news item exists to edit.</t>
  </si>
  <si>
    <t>[News - 5]</t>
  </si>
  <si>
    <t>Deleting a news item</t>
  </si>
  <si>
    <t>1. From the list, find a news item and click "Xóa".
2. A confirmation modal appears ("Bạn có chắc chắn muốn xóa tin tức này không?").
3. Click "Xóa".</t>
  </si>
  <si>
    <t>1. The item is removed from the database.
2. The item disappears from the news list.</t>
  </si>
  <si>
    <t>At least one news item exists to delete.</t>
  </si>
  <si>
    <t>[News - 6]</t>
  </si>
  <si>
    <t>Canceling a deletion</t>
  </si>
  <si>
    <t>1. From the list, find a news item and click "Xóa".
2. A confirmation modal appears ("Bạn có chắc chắn muốn xóa tin tức này không?").
3. Click "Hủy".</t>
  </si>
  <si>
    <t>1. The confirmation model closes.
2. The news item remains visible in the list.</t>
  </si>
  <si>
    <t>[News - 7]</t>
  </si>
  <si>
    <t>Search by Title (Results Found)</t>
  </si>
  <si>
    <t xml:space="preserve">1. Identify the title of an existing news item ("test").
2. Enter "test" into the search bar.
</t>
  </si>
  <si>
    <t>The list refreshes to show only the news item(s) matching that title.</t>
  </si>
  <si>
    <t>A news item with the title "test" exists.</t>
  </si>
  <si>
    <t>[News - 8]</t>
  </si>
  <si>
    <t>Search by Title (No Results)</t>
  </si>
  <si>
    <t xml:space="preserve">1. Enter a random string (e.g., "XYZ123ABC") into the search bar.
</t>
  </si>
  <si>
    <t>1. The list becomes empty.
2. A "Không tìm thấy dữ liệu" text is displayed in the table.</t>
  </si>
  <si>
    <t>[News - 9]</t>
  </si>
  <si>
    <t>Search by Email Author (Results Found)</t>
  </si>
  <si>
    <t>1. Identify an existing author email ("user@example.com").
2. Enter "user@example.com" into the search bar.</t>
  </si>
  <si>
    <t>The list refreshes to show only news items created by that specific email address.</t>
  </si>
  <si>
    <t>News items from "author@example.com" exist.</t>
  </si>
  <si>
    <t>[News - 10]</t>
  </si>
  <si>
    <t>Filter by Date Range</t>
  </si>
  <si>
    <t>1. Click the Date Filter dropdown.
2. Select the "7 ngày trước" option.</t>
  </si>
  <si>
    <t>The list updates to show only news items with a Created Date within the last 7 days (inclusive of today).</t>
  </si>
  <si>
    <t>Must have news items created within the last 7 days AND before the last 7 days.</t>
  </si>
  <si>
    <t>[News - 11]</t>
  </si>
  <si>
    <t>Sort by Date (Newest First)</t>
  </si>
  <si>
    <t>1. Click the "Ngày đăng" column header.</t>
  </si>
  <si>
    <t>The list re-orders to show the most recently created news item at the top.</t>
  </si>
  <si>
    <t>At least 3 news items with different creation dates exist.</t>
  </si>
  <si>
    <t>[News - 12]</t>
  </si>
  <si>
    <t>Sort by Date (Oldest First)</t>
  </si>
  <si>
    <t>The list re-orders to show the oldest created news item at the top.</t>
  </si>
  <si>
    <t>[News - 13]</t>
  </si>
  <si>
    <t>View news details</t>
  </si>
  <si>
    <t>1. On the news list, click on the Title of any news item.</t>
  </si>
  <si>
    <t>1. A detail view (page or modal) opens.
2. All fields are displayed correctly: Title, Email Author, Created Date, Content (Text), and rendered Images.</t>
  </si>
  <si>
    <t>At least one news item exists.</t>
  </si>
  <si>
    <t>Course Manage</t>
  </si>
  <si>
    <t>[Course Manage - 1]</t>
  </si>
  <si>
    <t>Verify content moderator can access pending courses awaiting approval</t>
  </si>
  <si>
    <t>1. Login as Content Moderator
2. Navigate to Course Management page
3. Click "Đang chờ duyệt" (Pending) tab
4. Verify course list displays</t>
  </si>
  <si>
    <t>1. Pending tab shows badge count
2. List displays only courses with status = "Pending"
3. Each course shows: title, lecturer name, category, price, submission date
4. No "Draft" or "Public" courses visible in this tab.</t>
  </si>
  <si>
    <t>1. Moderator is logged in
2. At least 1 course with status = "Pending" exists
3. Lecturer has submitted course for review</t>
  </si>
  <si>
    <t>[Course Manage - 2]</t>
  </si>
  <si>
    <t>Verify content moderator can approve course and publish it</t>
  </si>
  <si>
    <t>1. Navigate to Pending courses
2. Select a course to approve
3. Click "Duyệt" (Approve) button
4. Enter optional feedback in modal
5. Click "Xác nhận duyệt"</t>
  </si>
  <si>
    <t>1. Success toast: "Duyệt khóa học thành công!"
2. Course moves from "Pending" to "Public" tab
3. Course status changes to "Public"
4. Course becomes visible to students in catalog
5. API call: PUT /Course/Approve-Course/{courseId}? decision=true&amp;reason={feedback}
Lecturer receives notification (if implemented)</t>
  </si>
  <si>
    <t>1. Course status = "Pending"
2. Course meets quality standards
3. Moderator has approval permissions</t>
  </si>
  <si>
    <t>[Course Manage - 3]</t>
  </si>
  <si>
    <t>Verify moderator can reject course with required reason</t>
  </si>
  <si>
    <t>1. Navigate to Pending courses
2. Select a course to reject
3. Click "Từ chối" (Reject) button
4. Modal opens - DO NOT enter feedback
5. Try to submit
6. Enter valid rejection reason
7. Click "Từ chối"</t>
  </si>
  <si>
    <t>1. Step 5: Error message "Vui lòng nhập lý do từ chối khóa học"
2. Step 7: Success toast "Từ chối khóa học thành công!"
3. Course moves to "Nháp" tab
4. Course status changes to "Draft"
5. Feedback saved and visible to lecturer</t>
  </si>
  <si>
    <t>1. Course status = "Pending"
2. Course has quality issues or policy violations</t>
  </si>
  <si>
    <t>[Course Manage - 4]</t>
  </si>
  <si>
    <t>Verify content moderator can ban/suspend a course</t>
  </si>
  <si>
    <t>1. Navigate to Public courses tab
2. Find course with "Hoạt động" (Active) status
3. Click "Cấm" (Ban) button
4. Wait for confirmation
5. Verify status change</t>
  </si>
  <si>
    <t xml:space="preserve">1.Course isActive field changes to false
2. Status badge changes to "Bị cấm" (red)
3. Action button changes to "Bỏ Cấm" (Unban)
4. Success toast: "Cấm khóa học thành công!"
5. Course hidden from student catalog
6. Course remains in Public tab </t>
  </si>
  <si>
    <t>Course status = "Public"</t>
  </si>
  <si>
    <t>[Course Manage - 5]</t>
  </si>
  <si>
    <t>Verify content moderator can restore banned course</t>
  </si>
  <si>
    <t>1. Navigate to Public courses tab
2. Filter or find course with "Bị cấm" (Banned) status
3. Click "Bỏ Cấm" (Unban) button
4. Verify status restoration</t>
  </si>
  <si>
    <t>1. Course isActive field changes to true
2. Status badge changes to "Hoạt động" (green)
3. Action button changes to "Cấm" (Ban)
4. Success toast: "Bỏ cấm khóa học thành công!"
5. Course visible again in student catalog</t>
  </si>
  <si>
    <t>Course was previously banned</t>
  </si>
  <si>
    <t>Category Features</t>
  </si>
  <si>
    <t>[Category- 1]</t>
  </si>
  <si>
    <t>Test viewing list category</t>
  </si>
  <si>
    <t xml:space="preserve">1. Login the system with Content Moderator role.
2. Click "Quản lý danh mục" in the left menu.
</t>
  </si>
  <si>
    <t>- The "Quản lý danh mục" page is displayed with the title"Quản lý danh mục".
- The list of categories and subcategory is loaded and displayed correctly.</t>
  </si>
  <si>
    <t>- The server must be working
- User must exist in the system with the role "Content Moderator".
- At least 1 Category and 1 SubCategory must exist in the database.</t>
  </si>
  <si>
    <t>[Category- 2]</t>
  </si>
  <si>
    <t>Test the Create new Category with empty Name.</t>
  </si>
  <si>
    <t>1. Login the system with Content Moderator role.
2. Click "Quản lý danh mục" in the left menu.
3. Click button "Thêm danh mục" 
4. Click "Lưu"</t>
  </si>
  <si>
    <t>- The system send out error message "Xin hãy nhập tên danh mục"</t>
  </si>
  <si>
    <t>- The server must be working 
- User role must be Content Moderator
- The account status must be "Active"</t>
  </si>
  <si>
    <t>[Category- 3]</t>
  </si>
  <si>
    <t>Test the Create new Category already exists.</t>
  </si>
  <si>
    <t>1. Login the system with Content Moderator role.
2. Click "Quản lý danh mục" in the left menu.
3. Enter the name of an existing category.
4. Click button "Thêm danh mục" 
5. Click "Lưu"</t>
  </si>
  <si>
    <t>- The system send out error message "Tên danh mục đã tồn tại"</t>
  </si>
  <si>
    <t>[Category - 4]</t>
  </si>
  <si>
    <t>Test the Create new Category - Happy Path</t>
  </si>
  <si>
    <t>1. Login the system with Content Moderator role.
2. Click "Quản lý danh mục" in the left menu.
3. Enter the name of new category.
4. Click button "Thêm danh mục" 
5. Click "Lưu"</t>
  </si>
  <si>
    <t>- The system send out error message "Tạo danh mục mới thành công"</t>
  </si>
  <si>
    <t>[Category - 5]</t>
  </si>
  <si>
    <t>Test update the Category with empty Name</t>
  </si>
  <si>
    <t>1. Login the system with Content Moderator role.
2. Click "Quản lý danh mục" in the left menu.
3. Remove Name .
4. Click button "Thêm danh mục" 
5. Click "Lưu"</t>
  </si>
  <si>
    <t>[Category - 6]</t>
  </si>
  <si>
    <t>Test update the Category with exist Name</t>
  </si>
  <si>
    <t>1. Login the system with Content Moderator role.
2. Click "Quản lý danh mục" in the left menu.
3. Enter empty Name .
4. Click button "Thêm danh mục" 
5. Click "Lưu"</t>
  </si>
  <si>
    <t>[Category - 7]</t>
  </si>
  <si>
    <t>Test the update Category - Happy Path</t>
  </si>
  <si>
    <t>1. Login the system with Content Moderator role.
2. Click "Quản lý danh mục" in the left menu.
3. Remove name and enter new name of category
4. Click button "Thêm danh mục" 
5. Click "Lưu"</t>
  </si>
  <si>
    <t>[Category - 8]</t>
  </si>
  <si>
    <t>Test delete Category - Happy Path</t>
  </si>
  <si>
    <t xml:space="preserve">1. Login the system with Content Moderator role.
2. Click "Quản lý danh mục" in the left menu.
3. Click icon "⋮" .
4. Click button "Xóa" </t>
  </si>
  <si>
    <t xml:space="preserve">- The system send out error message "Xóa danh mục thành công".
- Category is removed from list category </t>
  </si>
  <si>
    <t>[Category - 9]</t>
  </si>
  <si>
    <t>Test delete Category with ID does not exist</t>
  </si>
  <si>
    <t>- The system send out error message "Không tìm thấy danh mục.".
- Category cannot be deleted from list category</t>
  </si>
  <si>
    <t>[Category - 10]</t>
  </si>
  <si>
    <t>Test viewing list category if there is no category in the data</t>
  </si>
  <si>
    <t>- The system send out error message "Danh mục đang trống".</t>
  </si>
  <si>
    <t>[Category - 11]</t>
  </si>
  <si>
    <t>Test delete Category have subcategory</t>
  </si>
  <si>
    <t>- The system send out error message "Không thể xóa danh mục chứa danh mục con.Vui lòng xóa các danh mục con trước".</t>
  </si>
  <si>
    <t>[SubCategory - 10]</t>
  </si>
  <si>
    <t>Test viewing list sub category</t>
  </si>
  <si>
    <t>[SubCategory - 11]</t>
  </si>
  <si>
    <t>Test viewing list sub category if there is no sub category in the data</t>
  </si>
  <si>
    <t>[SubCategory - 12]</t>
  </si>
  <si>
    <t>Check if the functionalities of Admin role work well.</t>
  </si>
  <si>
    <t>Moderator Manage</t>
  </si>
  <si>
    <t>[Moderator Manage -1 ]</t>
  </si>
  <si>
    <t>Verify moderator list displays correctly</t>
  </si>
  <si>
    <t>1. Login as Admin
2. Navigate to "Quản lý quản trị viên"
3. Observe the moderator list</t>
  </si>
  <si>
    <t>- All moderators display with: Avatar, Full name, ID, Email, Role badge, Status badge, Action buttons
- Table shows pagination if &gt; 5 records- Role badges show correct colors (purple for System, blue for Content)</t>
  </si>
  <si>
    <t>Admin logged in with valid credentials</t>
  </si>
  <si>
    <t>[Moderator Manage -2 ]</t>
  </si>
  <si>
    <t>Verify adding new Content Moderator</t>
  </si>
  <si>
    <t>1. Click "Thêm quản trị viên mới" button
2. Fill in: Fullname, Email, Password (min 6 chars), select "Content Moderator" role
3. Click "Add Moderator"</t>
  </si>
  <si>
    <t>- Modal opens with empty form
- Form validates all required fields
- Success message displays
- Modal closes
- New moderator appears in list with "Content Moderator" badge and "Active" status</t>
  </si>
  <si>
    <t>Admin logged in, on moderator management page</t>
  </si>
  <si>
    <t>[Moderator Manage -3 ]</t>
  </si>
  <si>
    <t>Verify adding new System Moderator</t>
  </si>
  <si>
    <t>1. Click "Thêm quản trị viên mới" button
2. Fill in: Fullname, Email, Password, select "System Moderator" role
3. Click "Add Moderator"</t>
  </si>
  <si>
    <t>- Form accepts System Moderator selection
- New moderator created with purple "System Moderator" badge
- Status defaults to "Active"</t>
  </si>
  <si>
    <t>[Moderator Manage -4 ]</t>
  </si>
  <si>
    <t>Verify form validation on add moderator</t>
  </si>
  <si>
    <t>1. Click "Thêm quản trị viên mới"
2. Leave fields empty and click "Add Moderator"
3. Enter invalid email format
4. Enter password &lt; 6 characters</t>
  </si>
  <si>
    <t>- Error message "Please input the full name!"
- Error message "Please input the email!"
- Error message "Please enter a valid email!"
- Error message "Password must be at least 6 characters!"
- Form does not submit</t>
  </si>
  <si>
    <t>Admin logged in</t>
  </si>
  <si>
    <t>[Moderator Manage -5]</t>
  </si>
  <si>
    <t>Verify activating inactive moderator</t>
  </si>
  <si>
    <t>1. Locate moderator with "Ngừng hoạt động" status
2. Click the toggle switch
3. Click "Yes" in confirmation popup</t>
  </si>
  <si>
    <t>- Confirmation popup displays asking to activate
- Switch turns green/blue
- Status badge changes to green "Hoạt động"
- Moderator record updated in table</t>
  </si>
  <si>
    <t>At least one inactive moderator exists</t>
  </si>
  <si>
    <t>[Moderator Manage -6]</t>
  </si>
  <si>
    <t>Verify deactivating active moderator</t>
  </si>
  <si>
    <t>1. Locate moderator with "Hoạt động" status
2. Click the toggle switch
3. Click "Yes" in confirmation popup</t>
  </si>
  <si>
    <t>- Confirmation popup displays asking to deactivate
- Switch turns gray
- Status badge changes to red "Ngừng hoạt động"
- Moderator record updated</t>
  </si>
  <si>
    <t>At least one active moderator exists</t>
  </si>
  <si>
    <t>[Moderator Manage -7 ]</t>
  </si>
  <si>
    <t>Verify duplicate email prevention</t>
  </si>
  <si>
    <t>1. Click "Thêm quản trị viên mới"
2. Enter email that already exists in system
3. Fill other required fields
4. Click "Add Moderator"</t>
  </si>
  <si>
    <t>- Error message displays
- Moderator not created
- Email field highlights error</t>
  </si>
  <si>
    <t>Existing moderator email known</t>
  </si>
  <si>
    <t>Salary Report</t>
  </si>
  <si>
    <t>[Salary - 1]</t>
  </si>
  <si>
    <t>Verify salary report loads for current month</t>
  </si>
  <si>
    <t>1. Login as Admin
2. Navigate to "Báo cáo tài chính"
3. Observe default report display</t>
  </si>
  <si>
    <t>- Report loads with current month/year selected
- Summary cards display: Tổng doanh thu, Phí nền tảng (40%), Thu nhập ròng, Giảng viên có thu nhập
- Data table shows lecturer records
- All currency formatted as VND</t>
  </si>
  <si>
    <t>[Salary - 2]</t>
  </si>
  <si>
    <t>Verify selecting different month</t>
  </si>
  <si>
    <t>1. On salary report page
2. Click month dropdown
3. Select different month (e.g., "Tháng 11")
4. Verify data updates</t>
  </si>
  <si>
    <t>- Dropdown shows all 12 months
- Summary cards update with new data
- Table refreshes with selected month data
- Data reflects selected month</t>
  </si>
  <si>
    <t>Admin on salary report page</t>
  </si>
  <si>
    <t>[Salary - 3]</t>
  </si>
  <si>
    <t>Verify selecting different year</t>
  </si>
  <si>
    <t>1. Click year dropdown
2. Select different year
3. Verify data updates</t>
  </si>
  <si>
    <t>- Dropdown shows 6 years (current and 5 previous)
- All data refreshes for selected year
- Summary totals recalculate</t>
  </si>
  <si>
    <t>[Salary - 4]</t>
  </si>
  <si>
    <t>Verify month and year combination</t>
  </si>
  <si>
    <t>1. Select specific month (e.g., Tháng 3)
2. Select specific year (e.g., 2024)
3. Verify report accuracy</t>
  </si>
  <si>
    <t>- Report displays data for March 2024 only
- Summary cards show correct totals for that period</t>
  </si>
  <si>
    <t>[Salary - 5]</t>
  </si>
  <si>
    <t>Verify summary card calculations</t>
  </si>
  <si>
    <t>1. Load report with data
2. Verify each summary card calculation</t>
  </si>
  <si>
    <t>- Tổng doanh thu = sum of all totalRevenue
- Phí nền tảng (40%) = sum of all platformFee
- Thu nhập ròng = sum of all netIncome-
 Giảng viên có thu nhập = count where totalRevenue &gt; 0
- All formatted as VND currency</t>
  </si>
  <si>
    <t>Report loaded with multiple lecturers</t>
  </si>
  <si>
    <t>[Salary - 6]</t>
  </si>
  <si>
    <t>Verify lecturer with complete bank info display</t>
  </si>
  <si>
    <t>1. Locate lecturer row with bank information
2. Verify "THÔNG TIN NHẬN TIỀN" column</t>
  </si>
  <si>
    <t xml:space="preserve"> Shows receiver name with user icon
- Shows bank name with building icon
- Shows bank account number in monospace font
- All three pieces of info clearly visible</t>
  </si>
  <si>
    <t>Lecturer with complete bank info exists</t>
  </si>
  <si>
    <t>[Salary - 7]</t>
  </si>
  <si>
    <t>Verify lecturer without bank info display</t>
  </si>
  <si>
    <t>1. Locate lecturer row without bank information
2. Verify "THÔNG TIN NHẬN TIỀN" column</t>
  </si>
  <si>
    <t>- Shows amber warning badge
- Text reads "Chưa cập nhật thông tin"
- Badge has pulsing dot animation
- Styled with amber-50 background</t>
  </si>
  <si>
    <t>Lecturer without bank info exists</t>
  </si>
  <si>
    <t>[Salary - 8]</t>
  </si>
  <si>
    <t>Verify lecturer with zero revenue display</t>
  </si>
  <si>
    <t>1. Locate lecturer with totalRevenue = 0
2. Verify row styling and values</t>
  </si>
  <si>
    <t>- Row has reduced opacity (opacity-50)
- Revenue shows 0₫ in gray
- Platform fee shows 0₫
- Net income shows 0₫ in gray
- Still counted in total lecturer count</t>
  </si>
  <si>
    <t>Lecturer with no revenue exists</t>
  </si>
  <si>
    <t>[Salary - 9]</t>
  </si>
  <si>
    <t>Verify export button disabled when no data</t>
  </si>
  <si>
    <t>1. Select month with no data
2. Attempt to click "Xuất Excel" button</t>
  </si>
  <si>
    <t>- Open window to save CSV file
- Toast success "Xuất báo cáo thành công"
- File saved with data with current month/ year on table</t>
  </si>
  <si>
    <t>Report has data loaded</t>
  </si>
  <si>
    <t>Test category</t>
  </si>
  <si>
    <t>Scenario A</t>
  </si>
  <si>
    <t>&lt;ID1&gt;</t>
  </si>
  <si>
    <r>
      <rPr>
        <i/>
        <sz val="10"/>
        <color rgb="FF008000"/>
        <rFont val="Tahoma"/>
      </rPr>
      <t xml:space="preserve">&lt;Brief description of this case: what is tested?&gt;
</t>
    </r>
    <r>
      <rPr>
        <sz val="10"/>
        <color rgb="FF008000"/>
        <rFont val="Tahoma"/>
      </rPr>
      <t>Ex: Test viewing "Company" form.</t>
    </r>
  </si>
  <si>
    <r>
      <rPr>
        <i/>
        <sz val="10"/>
        <color rgb="FF008000"/>
        <rFont val="Tahoma"/>
      </rPr>
      <t xml:space="preserve">&lt;Describe steps to perform this case&gt;
</t>
    </r>
    <r>
      <rPr>
        <sz val="10"/>
        <color rgb="FF008000"/>
        <rFont val="Tahoma"/>
      </rPr>
      <t>Ex:
1. Login the system with Manager role.
2. Click "Company" tab in the left menu.</t>
    </r>
  </si>
  <si>
    <r>
      <rPr>
        <i/>
        <sz val="10"/>
        <color rgb="FF008000"/>
        <rFont val="Tahoma"/>
      </rPr>
      <t xml:space="preserve">&lt;Describe results which meet customer's requirement&gt;
</t>
    </r>
    <r>
      <rPr>
        <sz val="10"/>
        <color rgb="FF000000"/>
        <rFont val="Tahoma"/>
      </rPr>
      <t>Ex:
The "Company" view form is displayed with the folowing informations:
- Company name
- Company address
- Phone
- Fax</t>
    </r>
  </si>
  <si>
    <t xml:space="preserve">&lt;List all test cases or conditions that must be done before performing this case&gt;
</t>
  </si>
  <si>
    <t>&lt;ID2&gt;</t>
  </si>
  <si>
    <t>&lt;Test case 2&gt;</t>
  </si>
  <si>
    <t>&lt;ID3&gt;</t>
  </si>
  <si>
    <t>&lt;Test case 3&gt;</t>
  </si>
  <si>
    <t>BinhTB</t>
  </si>
  <si>
    <t>[SubCategory - 13]</t>
  </si>
  <si>
    <t>[SubCategory - 14]</t>
  </si>
  <si>
    <t>[SubCategory - 15]</t>
  </si>
  <si>
    <t>Scenario C</t>
  </si>
  <si>
    <t>&lt;ID6&gt;</t>
  </si>
  <si>
    <t>&lt;Test case 6&gt;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</si>
</sst>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31">
    <font>
      <sz val="11"/>
      <color rgb="FF000000"/>
      <name val="MS PGothic"/>
      <scheme val="minor"/>
    </font>
    <font>
      <sz val="10"/>
      <color theme="1"/>
      <name val="Tahoma"/>
    </font>
    <font>
      <b/>
      <sz val="26"/>
      <color rgb="FFFF0000"/>
      <name val="Tahoma"/>
    </font>
    <font>
      <b/>
      <sz val="20"/>
      <color rgb="FF000000"/>
      <name val="Tahoma"/>
    </font>
    <font>
      <sz val="11"/>
      <name val="MS PGothic"/>
    </font>
    <font>
      <b/>
      <sz val="10"/>
      <color rgb="FF993300"/>
      <name val="Tahoma"/>
    </font>
    <font>
      <i/>
      <sz val="10"/>
      <color rgb="FF008000"/>
      <name val="Tahoma"/>
    </font>
    <font>
      <b/>
      <sz val="10"/>
      <color theme="1"/>
      <name val="Tahoma"/>
    </font>
    <font>
      <i/>
      <sz val="10"/>
      <color theme="1"/>
      <name val="Tahoma"/>
    </font>
    <font>
      <b/>
      <sz val="10"/>
      <color rgb="FFFFFFFF"/>
      <name val="Tahoma"/>
    </font>
    <font>
      <b/>
      <sz val="10"/>
      <color rgb="FF000000"/>
      <name val="Tahoma"/>
    </font>
    <font>
      <b/>
      <sz val="10"/>
      <color rgb="FFFF0000"/>
      <name val="Tahoma"/>
    </font>
    <font>
      <i/>
      <sz val="11"/>
      <color rgb="FF008000"/>
      <name val="Tahoma"/>
    </font>
    <font>
      <u/>
      <sz val="11"/>
      <color rgb="FF0000FF"/>
      <name val="MS PGothic"/>
    </font>
    <font>
      <u/>
      <sz val="10"/>
      <color rgb="FF0000FF"/>
      <name val="Tahoma"/>
    </font>
    <font>
      <u/>
      <sz val="10"/>
      <color rgb="FF0000FF"/>
      <name val="MS PGothic"/>
    </font>
    <font>
      <u/>
      <sz val="10"/>
      <color rgb="FF0000FF"/>
      <name val="MS PGothic"/>
    </font>
    <font>
      <i/>
      <sz val="10"/>
      <color rgb="FF000000"/>
      <name val="Tahoma"/>
    </font>
    <font>
      <sz val="10"/>
      <color rgb="FFFFFFFF"/>
      <name val="Tahoma"/>
    </font>
    <font>
      <b/>
      <sz val="10"/>
      <color rgb="FF0000FF"/>
      <name val="Tahoma"/>
    </font>
    <font>
      <sz val="10"/>
      <color rgb="FF000000"/>
      <name val="Tahoma"/>
    </font>
    <font>
      <sz val="10"/>
      <color rgb="FFFF0000"/>
      <name val="Tahoma"/>
    </font>
    <font>
      <b/>
      <i/>
      <sz val="10"/>
      <color theme="1"/>
      <name val="Tahoma"/>
    </font>
    <font>
      <sz val="10"/>
      <color theme="1"/>
      <name val="Times New Roman"/>
    </font>
    <font>
      <sz val="10"/>
      <color rgb="FF000000"/>
      <name val="Times New Roman"/>
    </font>
    <font>
      <sz val="10"/>
      <color theme="1"/>
      <name val="MS PGothic"/>
    </font>
    <font>
      <sz val="12"/>
      <color theme="1"/>
      <name val="&quot;Times New Roman&quot;"/>
    </font>
    <font>
      <sz val="11"/>
      <color theme="1"/>
      <name val="MS PGothic"/>
      <scheme val="minor"/>
    </font>
    <font>
      <sz val="11"/>
      <color theme="1"/>
      <name val="Tahoma"/>
    </font>
    <font>
      <sz val="11"/>
      <color theme="1"/>
      <name val="MS PGothic"/>
    </font>
    <font>
      <sz val="10"/>
      <color rgb="FF008000"/>
      <name val="Tahoma"/>
    </font>
  </fonts>
  <fills count="7">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6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hair">
        <color rgb="FF000000"/>
      </left>
      <right/>
      <top style="thin">
        <color rgb="FF000000"/>
      </top>
      <bottom style="hair">
        <color rgb="FF000000"/>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medium">
        <color rgb="FF000000"/>
      </right>
      <top/>
      <bottom style="hair">
        <color rgb="FF000000"/>
      </bottom>
      <diagonal/>
    </border>
    <border>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hair">
        <color rgb="FF000000"/>
      </left>
      <right style="medium">
        <color rgb="FF000000"/>
      </right>
      <top style="hair">
        <color rgb="FF000000"/>
      </top>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s>
  <cellStyleXfs count="1">
    <xf numFmtId="0" fontId="0" fillId="0" borderId="0"/>
  </cellStyleXfs>
  <cellXfs count="198">
    <xf numFmtId="0" fontId="0" fillId="0" borderId="0" xfId="0"/>
    <xf numFmtId="0" fontId="1" fillId="0" borderId="0" xfId="0" applyFont="1" applyAlignment="1">
      <alignment horizontal="left"/>
    </xf>
    <xf numFmtId="0" fontId="1" fillId="0" borderId="0" xfId="0" applyFont="1"/>
    <xf numFmtId="0" fontId="2" fillId="0" borderId="1" xfId="0" applyFont="1" applyBorder="1" applyAlignment="1">
      <alignment horizontal="center" vertical="center"/>
    </xf>
    <xf numFmtId="0" fontId="1" fillId="0" borderId="0" xfId="0" applyFont="1" applyAlignment="1">
      <alignment horizontal="center" vertical="center"/>
    </xf>
    <xf numFmtId="0" fontId="5" fillId="2" borderId="4" xfId="0" applyFont="1" applyFill="1" applyBorder="1" applyAlignment="1">
      <alignment horizontal="left"/>
    </xf>
    <xf numFmtId="0" fontId="6" fillId="0" borderId="0" xfId="0" applyFont="1" applyAlignment="1">
      <alignment horizontal="left"/>
    </xf>
    <xf numFmtId="0" fontId="1" fillId="2" borderId="4" xfId="0" applyFont="1" applyFill="1" applyBorder="1"/>
    <xf numFmtId="0" fontId="7" fillId="2" borderId="5" xfId="0" applyFont="1" applyFill="1" applyBorder="1" applyAlignment="1">
      <alignment horizontal="left"/>
    </xf>
    <xf numFmtId="0" fontId="1" fillId="0" borderId="3" xfId="0" applyFont="1" applyBorder="1"/>
    <xf numFmtId="164" fontId="8" fillId="0" borderId="3" xfId="0" applyNumberFormat="1" applyFont="1" applyBorder="1" applyAlignment="1">
      <alignment horizontal="left"/>
    </xf>
    <xf numFmtId="0" fontId="7" fillId="2" borderId="5" xfId="0" applyFont="1" applyFill="1" applyBorder="1" applyAlignment="1">
      <alignment vertical="center"/>
    </xf>
    <xf numFmtId="0" fontId="8" fillId="0" borderId="3" xfId="0" applyFont="1" applyBorder="1" applyAlignment="1">
      <alignment horizontal="left"/>
    </xf>
    <xf numFmtId="0" fontId="7" fillId="0" borderId="0" xfId="0" applyFont="1"/>
    <xf numFmtId="0" fontId="5" fillId="0" borderId="0" xfId="0" applyFont="1" applyAlignment="1">
      <alignment horizontal="left"/>
    </xf>
    <xf numFmtId="0" fontId="7" fillId="0" borderId="0" xfId="0" applyFont="1" applyAlignment="1">
      <alignment horizontal="left"/>
    </xf>
    <xf numFmtId="15" fontId="9" fillId="3" borderId="6" xfId="0" applyNumberFormat="1"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1" fillId="0" borderId="0" xfId="0" applyFont="1" applyAlignment="1">
      <alignment vertical="center"/>
    </xf>
    <xf numFmtId="164" fontId="8" fillId="0" borderId="9" xfId="0" applyNumberFormat="1" applyFont="1" applyBorder="1" applyAlignment="1">
      <alignment horizontal="center" vertical="top" wrapText="1"/>
    </xf>
    <xf numFmtId="49" fontId="1" fillId="0" borderId="10" xfId="0" applyNumberFormat="1" applyFont="1" applyBorder="1" applyAlignment="1">
      <alignment vertical="top"/>
    </xf>
    <xf numFmtId="0" fontId="1" fillId="0" borderId="10" xfId="0" applyFont="1" applyBorder="1" applyAlignment="1">
      <alignment vertical="top"/>
    </xf>
    <xf numFmtId="0" fontId="8" fillId="0" borderId="11" xfId="0" applyFont="1" applyBorder="1" applyAlignment="1">
      <alignment vertical="top" wrapText="1"/>
    </xf>
    <xf numFmtId="0" fontId="1" fillId="0" borderId="0" xfId="0" applyFont="1" applyAlignment="1">
      <alignment vertical="top"/>
    </xf>
    <xf numFmtId="0" fontId="1" fillId="0" borderId="10" xfId="0" applyFont="1" applyBorder="1" applyAlignment="1">
      <alignment vertical="top" wrapText="1"/>
    </xf>
    <xf numFmtId="0" fontId="1" fillId="0" borderId="11" xfId="0" applyFont="1" applyBorder="1" applyAlignment="1">
      <alignment vertical="top"/>
    </xf>
    <xf numFmtId="15" fontId="1" fillId="0" borderId="9" xfId="0" applyNumberFormat="1" applyFont="1" applyBorder="1" applyAlignment="1">
      <alignment vertical="top"/>
    </xf>
    <xf numFmtId="15" fontId="1" fillId="0" borderId="12" xfId="0" applyNumberFormat="1" applyFont="1" applyBorder="1" applyAlignment="1">
      <alignment vertical="top"/>
    </xf>
    <xf numFmtId="49" fontId="1" fillId="0" borderId="13" xfId="0" applyNumberFormat="1" applyFont="1" applyBorder="1" applyAlignment="1">
      <alignment vertical="top"/>
    </xf>
    <xf numFmtId="0" fontId="1" fillId="0" borderId="13" xfId="0" applyFont="1" applyBorder="1" applyAlignment="1">
      <alignment vertical="top"/>
    </xf>
    <xf numFmtId="0" fontId="1" fillId="0" borderId="14" xfId="0" applyFont="1" applyBorder="1" applyAlignment="1">
      <alignment vertical="top"/>
    </xf>
    <xf numFmtId="1" fontId="1" fillId="2" borderId="4" xfId="0" applyNumberFormat="1" applyFont="1" applyFill="1" applyBorder="1"/>
    <xf numFmtId="0" fontId="1" fillId="2" borderId="4" xfId="0" applyFont="1" applyFill="1" applyBorder="1" applyAlignment="1">
      <alignment horizontal="left"/>
    </xf>
    <xf numFmtId="0" fontId="3" fillId="2" borderId="4" xfId="0" applyFont="1" applyFill="1" applyBorder="1" applyAlignment="1">
      <alignment horizontal="left"/>
    </xf>
    <xf numFmtId="0" fontId="10" fillId="2" borderId="4" xfId="0" applyFont="1" applyFill="1" applyBorder="1" applyAlignment="1">
      <alignment horizontal="left"/>
    </xf>
    <xf numFmtId="0" fontId="11" fillId="2" borderId="4" xfId="0" applyFont="1" applyFill="1" applyBorder="1" applyAlignment="1">
      <alignment horizontal="left"/>
    </xf>
    <xf numFmtId="0" fontId="1" fillId="2" borderId="4" xfId="0" applyFont="1" applyFill="1" applyBorder="1" applyAlignment="1">
      <alignment wrapText="1"/>
    </xf>
    <xf numFmtId="0" fontId="1" fillId="2" borderId="16" xfId="0" applyFont="1" applyFill="1" applyBorder="1" applyAlignment="1">
      <alignment wrapText="1"/>
    </xf>
    <xf numFmtId="1" fontId="5" fillId="2" borderId="4" xfId="0" applyNumberFormat="1" applyFont="1" applyFill="1" applyBorder="1"/>
    <xf numFmtId="0" fontId="1" fillId="2" borderId="17" xfId="0" applyFont="1" applyFill="1" applyBorder="1"/>
    <xf numFmtId="0" fontId="1" fillId="2" borderId="4" xfId="0" applyFont="1" applyFill="1" applyBorder="1" applyAlignment="1">
      <alignment vertical="center"/>
    </xf>
    <xf numFmtId="1" fontId="1" fillId="2" borderId="4" xfId="0" applyNumberFormat="1" applyFont="1" applyFill="1" applyBorder="1" applyAlignment="1">
      <alignment vertical="center"/>
    </xf>
    <xf numFmtId="0" fontId="1" fillId="2" borderId="4" xfId="0" applyFont="1" applyFill="1" applyBorder="1" applyAlignment="1">
      <alignment horizontal="left" vertical="center"/>
    </xf>
    <xf numFmtId="0" fontId="7" fillId="2" borderId="4" xfId="0" applyFont="1" applyFill="1" applyBorder="1" applyAlignment="1">
      <alignment horizontal="center"/>
    </xf>
    <xf numFmtId="1" fontId="9" fillId="4" borderId="6" xfId="0" applyNumberFormat="1" applyFont="1" applyFill="1" applyBorder="1" applyAlignment="1">
      <alignment horizontal="center" vertical="center"/>
    </xf>
    <xf numFmtId="0" fontId="9" fillId="4" borderId="7"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8" xfId="0" applyFont="1" applyFill="1" applyBorder="1" applyAlignment="1">
      <alignment horizontal="center" vertical="center"/>
    </xf>
    <xf numFmtId="1" fontId="1" fillId="2" borderId="9" xfId="0" applyNumberFormat="1" applyFont="1" applyFill="1" applyBorder="1" applyAlignment="1">
      <alignment vertical="center"/>
    </xf>
    <xf numFmtId="49" fontId="1" fillId="2" borderId="10" xfId="0" applyNumberFormat="1" applyFont="1" applyFill="1" applyBorder="1" applyAlignment="1">
      <alignment horizontal="left" vertical="center"/>
    </xf>
    <xf numFmtId="0" fontId="13" fillId="2" borderId="10" xfId="0" applyFont="1" applyFill="1" applyBorder="1" applyAlignment="1">
      <alignment horizontal="left" vertical="center" wrapText="1"/>
    </xf>
    <xf numFmtId="0" fontId="14"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5" fillId="2" borderId="10" xfId="0" applyFont="1" applyFill="1" applyBorder="1" applyAlignment="1">
      <alignment horizontal="left" vertical="center" wrapText="1"/>
    </xf>
    <xf numFmtId="0" fontId="1" fillId="2" borderId="10" xfId="0" applyFont="1" applyFill="1" applyBorder="1" applyAlignment="1">
      <alignment horizontal="left" vertical="center"/>
    </xf>
    <xf numFmtId="0" fontId="16" fillId="2" borderId="10" xfId="0" applyFont="1" applyFill="1" applyBorder="1" applyAlignment="1">
      <alignment horizontal="left" vertical="center" wrapText="1"/>
    </xf>
    <xf numFmtId="1" fontId="1" fillId="2" borderId="12" xfId="0" applyNumberFormat="1" applyFont="1" applyFill="1" applyBorder="1" applyAlignment="1">
      <alignment vertical="center"/>
    </xf>
    <xf numFmtId="49" fontId="1" fillId="2" borderId="13" xfId="0" applyNumberFormat="1" applyFont="1" applyFill="1" applyBorder="1" applyAlignment="1">
      <alignment horizontal="left" vertical="center"/>
    </xf>
    <xf numFmtId="0" fontId="1" fillId="2" borderId="13" xfId="0" applyFont="1" applyFill="1" applyBorder="1" applyAlignment="1">
      <alignment horizontal="left" vertical="center"/>
    </xf>
    <xf numFmtId="0" fontId="1" fillId="2" borderId="14" xfId="0" applyFont="1" applyFill="1" applyBorder="1" applyAlignment="1">
      <alignment horizontal="left" vertical="center"/>
    </xf>
    <xf numFmtId="0" fontId="7" fillId="2" borderId="4" xfId="0" applyFont="1" applyFill="1" applyBorder="1"/>
    <xf numFmtId="15" fontId="1" fillId="2" borderId="4" xfId="0" applyNumberFormat="1" applyFont="1" applyFill="1" applyBorder="1"/>
    <xf numFmtId="0" fontId="5" fillId="2" borderId="5" xfId="0" applyFont="1" applyFill="1" applyBorder="1" applyAlignment="1">
      <alignment horizontal="left" vertical="center"/>
    </xf>
    <xf numFmtId="0" fontId="5" fillId="2" borderId="21" xfId="0" applyFont="1" applyFill="1" applyBorder="1" applyAlignment="1">
      <alignment horizontal="left"/>
    </xf>
    <xf numFmtId="0" fontId="1" fillId="2" borderId="21" xfId="0" applyFont="1" applyFill="1" applyBorder="1" applyAlignment="1">
      <alignment vertical="top"/>
    </xf>
    <xf numFmtId="0" fontId="5" fillId="2" borderId="5" xfId="0" applyFont="1" applyFill="1" applyBorder="1" applyAlignment="1">
      <alignment vertical="center"/>
    </xf>
    <xf numFmtId="164" fontId="17" fillId="2" borderId="21" xfId="0" applyNumberFormat="1" applyFont="1" applyFill="1" applyBorder="1" applyAlignment="1">
      <alignment horizontal="left" vertical="top"/>
    </xf>
    <xf numFmtId="0" fontId="5" fillId="2" borderId="4" xfId="0" applyFont="1" applyFill="1" applyBorder="1"/>
    <xf numFmtId="0" fontId="6" fillId="2" borderId="4" xfId="0" applyFont="1" applyFill="1" applyBorder="1"/>
    <xf numFmtId="0" fontId="1" fillId="2" borderId="22" xfId="0" applyFont="1" applyFill="1" applyBorder="1"/>
    <xf numFmtId="0" fontId="9" fillId="3" borderId="23" xfId="0" applyFont="1" applyFill="1" applyBorder="1" applyAlignment="1">
      <alignment horizontal="center"/>
    </xf>
    <xf numFmtId="0" fontId="9" fillId="3" borderId="7" xfId="0" applyFont="1" applyFill="1" applyBorder="1" applyAlignment="1">
      <alignment horizontal="center"/>
    </xf>
    <xf numFmtId="0" fontId="9" fillId="3" borderId="7" xfId="0" applyFont="1" applyFill="1" applyBorder="1" applyAlignment="1">
      <alignment horizontal="center" wrapText="1"/>
    </xf>
    <xf numFmtId="0" fontId="9" fillId="3" borderId="18" xfId="0" applyFont="1" applyFill="1" applyBorder="1" applyAlignment="1">
      <alignment horizontal="center"/>
    </xf>
    <xf numFmtId="0" fontId="9" fillId="3" borderId="24" xfId="0" applyFont="1" applyFill="1" applyBorder="1" applyAlignment="1">
      <alignment horizontal="center" wrapText="1"/>
    </xf>
    <xf numFmtId="0" fontId="1" fillId="2" borderId="25" xfId="0" applyFont="1" applyFill="1" applyBorder="1" applyAlignment="1">
      <alignment horizontal="center"/>
    </xf>
    <xf numFmtId="0" fontId="1" fillId="2" borderId="26" xfId="0" applyFont="1" applyFill="1" applyBorder="1"/>
    <xf numFmtId="0" fontId="1" fillId="2" borderId="26"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1" fillId="2" borderId="29" xfId="0" applyFont="1" applyFill="1" applyBorder="1" applyAlignment="1">
      <alignment horizontal="center"/>
    </xf>
    <xf numFmtId="0" fontId="1" fillId="2" borderId="10" xfId="0" applyFont="1" applyFill="1" applyBorder="1"/>
    <xf numFmtId="0" fontId="1" fillId="2" borderId="10" xfId="0" applyFont="1" applyFill="1" applyBorder="1" applyAlignment="1">
      <alignment horizontal="center"/>
    </xf>
    <xf numFmtId="0" fontId="1" fillId="2" borderId="30" xfId="0" applyFont="1" applyFill="1" applyBorder="1" applyAlignment="1">
      <alignment horizontal="center"/>
    </xf>
    <xf numFmtId="0" fontId="1" fillId="2" borderId="16" xfId="0" applyFont="1" applyFill="1" applyBorder="1"/>
    <xf numFmtId="0" fontId="1" fillId="2" borderId="31" xfId="0" applyFont="1" applyFill="1" applyBorder="1" applyAlignment="1">
      <alignment horizontal="center"/>
    </xf>
    <xf numFmtId="0" fontId="1" fillId="2" borderId="32" xfId="0" applyFont="1" applyFill="1" applyBorder="1" applyAlignment="1">
      <alignment horizontal="center"/>
    </xf>
    <xf numFmtId="0" fontId="1" fillId="2" borderId="33" xfId="0" applyFont="1" applyFill="1" applyBorder="1"/>
    <xf numFmtId="0" fontId="1" fillId="2" borderId="33" xfId="0" applyFont="1" applyFill="1" applyBorder="1" applyAlignment="1">
      <alignment horizontal="center"/>
    </xf>
    <xf numFmtId="0" fontId="1" fillId="2" borderId="34" xfId="0" applyFont="1" applyFill="1" applyBorder="1" applyAlignment="1">
      <alignment horizontal="center"/>
    </xf>
    <xf numFmtId="0" fontId="1" fillId="2" borderId="35" xfId="0" applyFont="1" applyFill="1" applyBorder="1" applyAlignment="1">
      <alignment horizontal="center"/>
    </xf>
    <xf numFmtId="0" fontId="18" fillId="3" borderId="36" xfId="0" applyFont="1" applyFill="1" applyBorder="1" applyAlignment="1">
      <alignment horizontal="center"/>
    </xf>
    <xf numFmtId="0" fontId="9" fillId="3" borderId="13" xfId="0" applyFont="1" applyFill="1" applyBorder="1"/>
    <xf numFmtId="0" fontId="18" fillId="3" borderId="13" xfId="0" applyFont="1" applyFill="1" applyBorder="1" applyAlignment="1">
      <alignment horizontal="center"/>
    </xf>
    <xf numFmtId="0" fontId="18" fillId="3" borderId="37" xfId="0" applyFont="1" applyFill="1" applyBorder="1" applyAlignment="1">
      <alignment horizontal="center"/>
    </xf>
    <xf numFmtId="0" fontId="1" fillId="2" borderId="4" xfId="0" applyFont="1" applyFill="1" applyBorder="1" applyAlignment="1">
      <alignment horizontal="center"/>
    </xf>
    <xf numFmtId="10" fontId="1" fillId="2" borderId="4" xfId="0" applyNumberFormat="1" applyFont="1" applyFill="1" applyBorder="1" applyAlignment="1">
      <alignment horizontal="center"/>
    </xf>
    <xf numFmtId="9" fontId="1" fillId="2" borderId="4" xfId="0" applyNumberFormat="1" applyFont="1" applyFill="1" applyBorder="1" applyAlignment="1">
      <alignment horizontal="center"/>
    </xf>
    <xf numFmtId="2" fontId="19" fillId="2" borderId="4" xfId="0" applyNumberFormat="1" applyFont="1" applyFill="1" applyBorder="1" applyAlignment="1">
      <alignment horizontal="right" wrapText="1"/>
    </xf>
    <xf numFmtId="0" fontId="20" fillId="2" borderId="4" xfId="0" applyFont="1" applyFill="1" applyBorder="1" applyAlignment="1">
      <alignment horizontal="center" wrapText="1"/>
    </xf>
    <xf numFmtId="0" fontId="21" fillId="2" borderId="4" xfId="0" applyFont="1" applyFill="1" applyBorder="1"/>
    <xf numFmtId="0" fontId="7" fillId="2" borderId="38" xfId="0" applyFont="1" applyFill="1" applyBorder="1" applyAlignment="1">
      <alignment horizontal="center" vertical="top" wrapText="1"/>
    </xf>
    <xf numFmtId="0" fontId="6" fillId="2" borderId="4" xfId="0" applyFont="1" applyFill="1" applyBorder="1" applyAlignment="1">
      <alignment wrapText="1"/>
    </xf>
    <xf numFmtId="0" fontId="6" fillId="2" borderId="4" xfId="0" applyFont="1" applyFill="1" applyBorder="1" applyAlignment="1">
      <alignment horizontal="left" wrapText="1"/>
    </xf>
    <xf numFmtId="0" fontId="21" fillId="2" borderId="4" xfId="0" applyFont="1" applyFill="1" applyBorder="1" applyAlignment="1">
      <alignment wrapText="1"/>
    </xf>
    <xf numFmtId="0" fontId="20" fillId="2" borderId="4" xfId="0" applyFont="1" applyFill="1" applyBorder="1"/>
    <xf numFmtId="0" fontId="7" fillId="2" borderId="42" xfId="0" applyFont="1" applyFill="1" applyBorder="1" applyAlignment="1">
      <alignment horizontal="center" vertical="top" wrapText="1"/>
    </xf>
    <xf numFmtId="0" fontId="22" fillId="2" borderId="42" xfId="0" applyFont="1" applyFill="1" applyBorder="1" applyAlignment="1">
      <alignment horizontal="center" vertical="top" wrapText="1"/>
    </xf>
    <xf numFmtId="0" fontId="22" fillId="2" borderId="5" xfId="0" applyFont="1" applyFill="1" applyBorder="1" applyAlignment="1">
      <alignment horizontal="center" vertical="top" wrapText="1"/>
    </xf>
    <xf numFmtId="0" fontId="22" fillId="2" borderId="44" xfId="0" applyFont="1" applyFill="1" applyBorder="1" applyAlignment="1">
      <alignment horizontal="center" vertical="top" wrapText="1"/>
    </xf>
    <xf numFmtId="0" fontId="10" fillId="2" borderId="4" xfId="0" applyFont="1" applyFill="1" applyBorder="1" applyAlignment="1">
      <alignment horizontal="center" vertical="center" wrapText="1"/>
    </xf>
    <xf numFmtId="0" fontId="1" fillId="2" borderId="4" xfId="0" applyFont="1" applyFill="1" applyBorder="1" applyAlignment="1">
      <alignment horizontal="center" wrapText="1"/>
    </xf>
    <xf numFmtId="0" fontId="21" fillId="2" borderId="4" xfId="0" applyFont="1" applyFill="1" applyBorder="1" applyAlignment="1">
      <alignment horizontal="center" wrapText="1"/>
    </xf>
    <xf numFmtId="0" fontId="1" fillId="2" borderId="5" xfId="0" applyFont="1" applyFill="1" applyBorder="1" applyAlignment="1">
      <alignment horizontal="center" vertical="top" wrapText="1"/>
    </xf>
    <xf numFmtId="0" fontId="1" fillId="2" borderId="44" xfId="0" applyFont="1" applyFill="1" applyBorder="1" applyAlignment="1">
      <alignment horizontal="center" vertical="top" wrapText="1"/>
    </xf>
    <xf numFmtId="0" fontId="20" fillId="2" borderId="4" xfId="0" applyFont="1" applyFill="1" applyBorder="1" applyAlignment="1">
      <alignment horizontal="center" vertical="center" wrapText="1"/>
    </xf>
    <xf numFmtId="0" fontId="22" fillId="2" borderId="45" xfId="0" applyFont="1" applyFill="1" applyBorder="1" applyAlignment="1">
      <alignment horizontal="center" vertical="top" wrapText="1"/>
    </xf>
    <xf numFmtId="0" fontId="1" fillId="2" borderId="46" xfId="0" applyFont="1" applyFill="1" applyBorder="1" applyAlignment="1">
      <alignment horizontal="center" vertical="top" wrapText="1"/>
    </xf>
    <xf numFmtId="0" fontId="1" fillId="2" borderId="47" xfId="0" applyFont="1" applyFill="1" applyBorder="1" applyAlignment="1">
      <alignment horizontal="center" vertical="top" wrapText="1"/>
    </xf>
    <xf numFmtId="0" fontId="9" fillId="5" borderId="5"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7" fillId="6" borderId="48" xfId="0" applyFont="1" applyFill="1" applyBorder="1" applyAlignment="1">
      <alignment horizontal="left" vertical="center"/>
    </xf>
    <xf numFmtId="0" fontId="7" fillId="6" borderId="49" xfId="0" applyFont="1" applyFill="1" applyBorder="1" applyAlignment="1">
      <alignment horizontal="left" vertical="center"/>
    </xf>
    <xf numFmtId="0" fontId="7" fillId="6" borderId="50" xfId="0" applyFont="1" applyFill="1" applyBorder="1" applyAlignment="1">
      <alignment horizontal="left" vertical="center"/>
    </xf>
    <xf numFmtId="0" fontId="11" fillId="2" borderId="4" xfId="0" applyFont="1" applyFill="1" applyBorder="1" applyAlignment="1">
      <alignment horizontal="left" vertical="center"/>
    </xf>
    <xf numFmtId="0" fontId="1" fillId="2" borderId="5" xfId="0" applyFont="1" applyFill="1" applyBorder="1" applyAlignment="1">
      <alignment vertical="top" wrapText="1"/>
    </xf>
    <xf numFmtId="0" fontId="23" fillId="2" borderId="5" xfId="0" applyFont="1" applyFill="1" applyBorder="1" applyAlignment="1">
      <alignment horizontal="left" vertical="top" wrapText="1"/>
    </xf>
    <xf numFmtId="165" fontId="1" fillId="2" borderId="5" xfId="0" applyNumberFormat="1" applyFont="1" applyFill="1" applyBorder="1" applyAlignment="1">
      <alignment vertical="top" wrapText="1"/>
    </xf>
    <xf numFmtId="0" fontId="20" fillId="2" borderId="4" xfId="0" applyFont="1" applyFill="1" applyBorder="1" applyAlignment="1">
      <alignment vertical="top"/>
    </xf>
    <xf numFmtId="0" fontId="21" fillId="2" borderId="4" xfId="0" applyFont="1" applyFill="1" applyBorder="1" applyAlignment="1">
      <alignment vertical="top" wrapText="1"/>
    </xf>
    <xf numFmtId="0" fontId="20" fillId="2" borderId="5" xfId="0" applyFont="1" applyFill="1" applyBorder="1" applyAlignment="1">
      <alignment horizontal="left" vertical="top" wrapText="1"/>
    </xf>
    <xf numFmtId="0" fontId="24" fillId="2" borderId="5" xfId="0" applyFont="1" applyFill="1" applyBorder="1" applyAlignment="1">
      <alignment horizontal="left" vertical="center" wrapText="1"/>
    </xf>
    <xf numFmtId="0" fontId="1" fillId="2" borderId="51" xfId="0" applyFont="1" applyFill="1" applyBorder="1" applyAlignment="1">
      <alignment vertical="top" wrapText="1"/>
    </xf>
    <xf numFmtId="0" fontId="7" fillId="6" borderId="52" xfId="0" applyFont="1" applyFill="1" applyBorder="1" applyAlignment="1">
      <alignment horizontal="left" vertical="center"/>
    </xf>
    <xf numFmtId="0" fontId="7" fillId="6" borderId="53" xfId="0" applyFont="1" applyFill="1" applyBorder="1" applyAlignment="1">
      <alignment horizontal="left" vertical="center"/>
    </xf>
    <xf numFmtId="0" fontId="7" fillId="6" borderId="21" xfId="0" applyFont="1" applyFill="1" applyBorder="1" applyAlignment="1">
      <alignment horizontal="left" vertical="center"/>
    </xf>
    <xf numFmtId="0" fontId="20" fillId="2" borderId="5" xfId="0" applyFont="1" applyFill="1" applyBorder="1" applyAlignment="1">
      <alignment horizontal="left" vertical="center" wrapText="1"/>
    </xf>
    <xf numFmtId="0" fontId="1" fillId="2" borderId="5" xfId="0" applyFont="1" applyFill="1" applyBorder="1"/>
    <xf numFmtId="0" fontId="23" fillId="2" borderId="5" xfId="0" applyFont="1" applyFill="1" applyBorder="1" applyAlignment="1">
      <alignment horizontal="left" vertical="center" wrapText="1"/>
    </xf>
    <xf numFmtId="0" fontId="24" fillId="2" borderId="5" xfId="0" applyFont="1" applyFill="1" applyBorder="1" applyAlignment="1">
      <alignment horizontal="left" vertical="top" wrapText="1"/>
    </xf>
    <xf numFmtId="0" fontId="23" fillId="2" borderId="5" xfId="0" applyFont="1" applyFill="1" applyBorder="1" applyAlignment="1">
      <alignment vertical="center" wrapText="1"/>
    </xf>
    <xf numFmtId="0" fontId="25" fillId="2" borderId="5" xfId="0" applyFont="1" applyFill="1" applyBorder="1"/>
    <xf numFmtId="0" fontId="25" fillId="2" borderId="4" xfId="0" applyFont="1" applyFill="1" applyBorder="1"/>
    <xf numFmtId="0" fontId="20" fillId="2" borderId="54" xfId="0" applyFont="1" applyFill="1" applyBorder="1"/>
    <xf numFmtId="0" fontId="11" fillId="2" borderId="54" xfId="0" applyFont="1" applyFill="1" applyBorder="1" applyAlignment="1">
      <alignment horizontal="left" vertical="center"/>
    </xf>
    <xf numFmtId="0" fontId="26" fillId="0" borderId="5" xfId="0" applyFont="1" applyBorder="1" applyAlignment="1">
      <alignment horizontal="left" vertical="top"/>
    </xf>
    <xf numFmtId="164" fontId="1" fillId="2" borderId="5" xfId="0" applyNumberFormat="1" applyFont="1" applyFill="1" applyBorder="1" applyAlignment="1">
      <alignment vertical="top" wrapText="1"/>
    </xf>
    <xf numFmtId="0" fontId="7" fillId="6" borderId="55" xfId="0" applyFont="1" applyFill="1" applyBorder="1" applyAlignment="1">
      <alignment horizontal="left" vertical="center"/>
    </xf>
    <xf numFmtId="0" fontId="7" fillId="6" borderId="56" xfId="0" applyFont="1" applyFill="1" applyBorder="1" applyAlignment="1">
      <alignment horizontal="left" vertical="center"/>
    </xf>
    <xf numFmtId="0" fontId="7" fillId="6" borderId="57" xfId="0" applyFont="1" applyFill="1" applyBorder="1" applyAlignment="1">
      <alignment horizontal="left" vertical="center"/>
    </xf>
    <xf numFmtId="164" fontId="1" fillId="2" borderId="58" xfId="0" applyNumberFormat="1" applyFont="1" applyFill="1" applyBorder="1" applyAlignment="1">
      <alignment vertical="top" wrapText="1"/>
    </xf>
    <xf numFmtId="0" fontId="1" fillId="2" borderId="58" xfId="0" applyFont="1" applyFill="1" applyBorder="1" applyAlignment="1">
      <alignment vertical="top" wrapText="1"/>
    </xf>
    <xf numFmtId="0" fontId="1" fillId="2" borderId="54" xfId="0" applyFont="1" applyFill="1" applyBorder="1"/>
    <xf numFmtId="0" fontId="21" fillId="2" borderId="54" xfId="0" applyFont="1" applyFill="1" applyBorder="1"/>
    <xf numFmtId="0" fontId="7" fillId="6" borderId="59" xfId="0" applyFont="1" applyFill="1" applyBorder="1" applyAlignment="1">
      <alignment horizontal="left" vertical="center"/>
    </xf>
    <xf numFmtId="0" fontId="1" fillId="2" borderId="59" xfId="0" applyFont="1" applyFill="1" applyBorder="1"/>
    <xf numFmtId="0" fontId="27" fillId="0" borderId="59" xfId="0" applyFont="1" applyBorder="1"/>
    <xf numFmtId="0" fontId="1" fillId="2" borderId="60" xfId="0" applyFont="1" applyFill="1" applyBorder="1" applyAlignment="1">
      <alignment vertical="top" wrapText="1"/>
    </xf>
    <xf numFmtId="164" fontId="1" fillId="2" borderId="60" xfId="0" applyNumberFormat="1" applyFont="1" applyFill="1" applyBorder="1" applyAlignment="1">
      <alignment vertical="top" wrapText="1"/>
    </xf>
    <xf numFmtId="0" fontId="21" fillId="2" borderId="17" xfId="0" applyFont="1" applyFill="1" applyBorder="1"/>
    <xf numFmtId="0" fontId="28" fillId="2" borderId="5" xfId="0" applyFont="1" applyFill="1" applyBorder="1" applyAlignment="1">
      <alignment vertical="top" wrapText="1"/>
    </xf>
    <xf numFmtId="0" fontId="29" fillId="2" borderId="5" xfId="0" applyFont="1" applyFill="1" applyBorder="1" applyAlignment="1">
      <alignment vertical="top"/>
    </xf>
    <xf numFmtId="0" fontId="20" fillId="2" borderId="5" xfId="0" applyFont="1" applyFill="1" applyBorder="1" applyAlignment="1">
      <alignment vertical="top" wrapText="1"/>
    </xf>
    <xf numFmtId="0" fontId="9" fillId="5" borderId="58" xfId="0" applyFont="1" applyFill="1" applyBorder="1" applyAlignment="1">
      <alignment horizontal="center" vertical="center" wrapText="1"/>
    </xf>
    <xf numFmtId="0" fontId="11" fillId="2" borderId="54" xfId="0" applyFont="1" applyFill="1" applyBorder="1" applyAlignment="1">
      <alignment horizontal="center" vertical="center" wrapText="1"/>
    </xf>
    <xf numFmtId="0" fontId="20" fillId="2" borderId="59" xfId="0" applyFont="1" applyFill="1" applyBorder="1"/>
    <xf numFmtId="0" fontId="1" fillId="2" borderId="61" xfId="0" applyFont="1" applyFill="1" applyBorder="1" applyAlignment="1">
      <alignment vertical="top" wrapText="1"/>
    </xf>
    <xf numFmtId="0" fontId="1" fillId="2" borderId="62" xfId="0" applyFont="1" applyFill="1" applyBorder="1"/>
    <xf numFmtId="0" fontId="1" fillId="2" borderId="63" xfId="0" applyFont="1" applyFill="1" applyBorder="1"/>
    <xf numFmtId="0" fontId="21" fillId="2" borderId="5" xfId="0" applyFont="1" applyFill="1" applyBorder="1" applyAlignment="1">
      <alignment vertical="top" wrapText="1"/>
    </xf>
    <xf numFmtId="0" fontId="1" fillId="2" borderId="0" xfId="0" applyFont="1" applyFill="1"/>
    <xf numFmtId="0" fontId="21" fillId="2" borderId="0" xfId="0" applyFont="1" applyFill="1"/>
    <xf numFmtId="0" fontId="20" fillId="2" borderId="64" xfId="0" applyFont="1" applyFill="1" applyBorder="1"/>
    <xf numFmtId="0" fontId="11" fillId="2" borderId="64" xfId="0" applyFont="1" applyFill="1" applyBorder="1" applyAlignment="1">
      <alignment horizontal="left" vertical="center"/>
    </xf>
    <xf numFmtId="0" fontId="6" fillId="2" borderId="5" xfId="0" applyFont="1" applyFill="1" applyBorder="1" applyAlignment="1">
      <alignment vertical="top" wrapText="1"/>
    </xf>
    <xf numFmtId="0" fontId="6" fillId="2" borderId="5" xfId="0" applyFont="1" applyFill="1" applyBorder="1" applyAlignment="1">
      <alignment horizontal="left" vertical="top" wrapText="1"/>
    </xf>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8" fillId="0" borderId="1" xfId="0" applyFont="1" applyBorder="1" applyAlignment="1">
      <alignment horizontal="left"/>
    </xf>
    <xf numFmtId="0" fontId="8" fillId="0" borderId="1" xfId="0" applyFont="1" applyBorder="1" applyAlignment="1">
      <alignment horizontal="left" vertical="center"/>
    </xf>
    <xf numFmtId="1" fontId="5" fillId="2" borderId="1" xfId="0" applyNumberFormat="1" applyFont="1" applyFill="1" applyBorder="1"/>
    <xf numFmtId="0" fontId="4" fillId="0" borderId="15" xfId="0" applyFont="1" applyBorder="1"/>
    <xf numFmtId="0" fontId="6" fillId="2" borderId="1" xfId="0" applyFont="1" applyFill="1" applyBorder="1" applyAlignment="1">
      <alignment horizontal="left"/>
    </xf>
    <xf numFmtId="1" fontId="5" fillId="2" borderId="1" xfId="0" applyNumberFormat="1" applyFont="1" applyFill="1" applyBorder="1" applyAlignment="1">
      <alignment vertical="center" wrapText="1"/>
    </xf>
    <xf numFmtId="0" fontId="12" fillId="2" borderId="1" xfId="0" applyFont="1" applyFill="1" applyBorder="1" applyAlignment="1">
      <alignment vertical="top" wrapText="1"/>
    </xf>
    <xf numFmtId="0" fontId="17" fillId="2" borderId="1" xfId="0" applyFont="1" applyFill="1" applyBorder="1" applyAlignment="1">
      <alignment horizontal="left"/>
    </xf>
    <xf numFmtId="0" fontId="5" fillId="2" borderId="1" xfId="0" applyFont="1" applyFill="1" applyBorder="1" applyAlignment="1">
      <alignment horizontal="left"/>
    </xf>
    <xf numFmtId="0" fontId="6" fillId="2" borderId="1" xfId="0" applyFont="1" applyFill="1" applyBorder="1" applyAlignment="1">
      <alignment vertical="top"/>
    </xf>
    <xf numFmtId="0" fontId="3" fillId="2" borderId="19" xfId="0" applyFont="1" applyFill="1" applyBorder="1" applyAlignment="1">
      <alignment horizontal="center"/>
    </xf>
    <xf numFmtId="0" fontId="4" fillId="0" borderId="20" xfId="0" applyFont="1" applyBorder="1"/>
    <xf numFmtId="0" fontId="4" fillId="0" borderId="16" xfId="0" applyFont="1" applyBorder="1"/>
    <xf numFmtId="0" fontId="1" fillId="2" borderId="39" xfId="0" applyFont="1" applyFill="1" applyBorder="1" applyAlignment="1">
      <alignment horizontal="left" vertical="top" wrapText="1"/>
    </xf>
    <xf numFmtId="0" fontId="4" fillId="0" borderId="40" xfId="0" applyFont="1" applyBorder="1"/>
    <xf numFmtId="0" fontId="4" fillId="0" borderId="41" xfId="0" applyFont="1" applyBorder="1"/>
    <xf numFmtId="0" fontId="1" fillId="2" borderId="1" xfId="0" applyFont="1" applyFill="1" applyBorder="1" applyAlignment="1">
      <alignment horizontal="left" vertical="top" wrapText="1"/>
    </xf>
    <xf numFmtId="0" fontId="4" fillId="0" borderId="4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85725</xdr:rowOff>
    </xdr:from>
    <xdr:ext cx="2009775" cy="6667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defaultColWidth="12.6640625" defaultRowHeight="15" customHeight="1"/>
  <cols>
    <col min="1" max="1" width="28.109375" customWidth="1"/>
    <col min="2" max="2" width="10" customWidth="1"/>
    <col min="3" max="3" width="14.33203125" customWidth="1"/>
    <col min="4" max="4" width="8" customWidth="1"/>
    <col min="5" max="5" width="38" customWidth="1"/>
    <col min="6" max="6" width="48.109375" customWidth="1"/>
    <col min="7" max="26" width="9" customWidth="1"/>
  </cols>
  <sheetData>
    <row r="1" spans="1:26" ht="12.75" customHeight="1">
      <c r="A1" s="1"/>
      <c r="B1" s="2"/>
      <c r="C1" s="2"/>
      <c r="D1" s="2"/>
      <c r="E1" s="2"/>
      <c r="F1" s="2"/>
      <c r="G1" s="2"/>
      <c r="H1" s="2"/>
      <c r="I1" s="2"/>
      <c r="J1" s="2"/>
      <c r="K1" s="2"/>
      <c r="L1" s="2"/>
      <c r="M1" s="2"/>
      <c r="N1" s="2"/>
      <c r="O1" s="2"/>
      <c r="P1" s="2"/>
      <c r="Q1" s="2"/>
      <c r="R1" s="2"/>
      <c r="S1" s="2"/>
      <c r="T1" s="2"/>
      <c r="U1" s="2"/>
      <c r="V1" s="2"/>
      <c r="W1" s="2"/>
      <c r="X1" s="2"/>
      <c r="Y1" s="2"/>
      <c r="Z1" s="2"/>
    </row>
    <row r="2" spans="1:26" ht="75.75" customHeight="1">
      <c r="A2" s="3"/>
      <c r="B2" s="177" t="s">
        <v>0</v>
      </c>
      <c r="C2" s="178"/>
      <c r="D2" s="178"/>
      <c r="E2" s="178"/>
      <c r="F2" s="179"/>
      <c r="G2" s="4"/>
      <c r="H2" s="4"/>
      <c r="I2" s="4"/>
      <c r="J2" s="4"/>
      <c r="K2" s="4"/>
      <c r="L2" s="4"/>
      <c r="M2" s="4"/>
      <c r="N2" s="4"/>
      <c r="O2" s="4"/>
      <c r="P2" s="4"/>
      <c r="Q2" s="4"/>
      <c r="R2" s="4"/>
      <c r="S2" s="4"/>
      <c r="T2" s="4"/>
      <c r="U2" s="4"/>
      <c r="V2" s="4"/>
      <c r="W2" s="4"/>
      <c r="X2" s="4"/>
      <c r="Y2" s="4"/>
      <c r="Z2" s="4"/>
    </row>
    <row r="3" spans="1:26" ht="12.75" customHeight="1">
      <c r="A3" s="5"/>
      <c r="B3" s="6"/>
      <c r="C3" s="2"/>
      <c r="D3" s="2"/>
      <c r="E3" s="7"/>
      <c r="F3" s="2"/>
      <c r="G3" s="2"/>
      <c r="H3" s="2"/>
      <c r="I3" s="2"/>
      <c r="J3" s="2"/>
      <c r="K3" s="2"/>
      <c r="L3" s="2"/>
      <c r="M3" s="2"/>
      <c r="N3" s="2"/>
      <c r="O3" s="2"/>
      <c r="P3" s="2"/>
      <c r="Q3" s="2"/>
      <c r="R3" s="2"/>
      <c r="S3" s="2"/>
      <c r="T3" s="2"/>
      <c r="U3" s="2"/>
      <c r="V3" s="2"/>
      <c r="W3" s="2"/>
      <c r="X3" s="2"/>
      <c r="Y3" s="2"/>
      <c r="Z3" s="2"/>
    </row>
    <row r="4" spans="1:26" ht="14.25" customHeight="1">
      <c r="A4" s="8" t="s">
        <v>1</v>
      </c>
      <c r="B4" s="180" t="s">
        <v>2</v>
      </c>
      <c r="C4" s="178"/>
      <c r="D4" s="179"/>
      <c r="E4" s="8" t="s">
        <v>3</v>
      </c>
      <c r="F4" s="9" t="s">
        <v>4</v>
      </c>
      <c r="G4" s="2"/>
      <c r="H4" s="2"/>
      <c r="I4" s="2"/>
      <c r="J4" s="2"/>
      <c r="K4" s="2"/>
      <c r="L4" s="2"/>
      <c r="M4" s="2"/>
      <c r="N4" s="2"/>
      <c r="O4" s="2"/>
      <c r="P4" s="2"/>
      <c r="Q4" s="2"/>
      <c r="R4" s="2"/>
      <c r="S4" s="2"/>
      <c r="T4" s="2"/>
      <c r="U4" s="2"/>
      <c r="V4" s="2"/>
      <c r="W4" s="2"/>
      <c r="X4" s="2"/>
      <c r="Y4" s="2"/>
      <c r="Z4" s="2"/>
    </row>
    <row r="5" spans="1:26" ht="14.25" customHeight="1">
      <c r="A5" s="8" t="s">
        <v>5</v>
      </c>
      <c r="B5" s="180" t="s">
        <v>6</v>
      </c>
      <c r="C5" s="178"/>
      <c r="D5" s="179"/>
      <c r="E5" s="8" t="s">
        <v>7</v>
      </c>
      <c r="F5" s="10">
        <v>45998</v>
      </c>
      <c r="G5" s="2"/>
      <c r="H5" s="2"/>
      <c r="I5" s="2"/>
      <c r="J5" s="2"/>
      <c r="K5" s="2"/>
      <c r="L5" s="2"/>
      <c r="M5" s="2"/>
      <c r="N5" s="2"/>
      <c r="O5" s="2"/>
      <c r="P5" s="2"/>
      <c r="Q5" s="2"/>
      <c r="R5" s="2"/>
      <c r="S5" s="2"/>
      <c r="T5" s="2"/>
      <c r="U5" s="2"/>
      <c r="V5" s="2"/>
      <c r="W5" s="2"/>
      <c r="X5" s="2"/>
      <c r="Y5" s="2"/>
      <c r="Z5" s="2"/>
    </row>
    <row r="6" spans="1:26" ht="15.75" customHeight="1">
      <c r="A6" s="11" t="s">
        <v>8</v>
      </c>
      <c r="B6" s="181" t="str">
        <f>B5&amp;"_"&amp;"System_Test_Report"&amp;""</f>
        <v>OLP-SkillUp_System_Test_Report</v>
      </c>
      <c r="C6" s="178"/>
      <c r="D6" s="179"/>
      <c r="E6" s="8" t="s">
        <v>9</v>
      </c>
      <c r="F6" s="12" t="s">
        <v>10</v>
      </c>
      <c r="G6" s="2"/>
      <c r="H6" s="2"/>
      <c r="I6" s="2"/>
      <c r="J6" s="2"/>
      <c r="K6" s="2"/>
      <c r="L6" s="2"/>
      <c r="M6" s="2"/>
      <c r="N6" s="2"/>
      <c r="O6" s="2"/>
      <c r="P6" s="2"/>
      <c r="Q6" s="2"/>
      <c r="R6" s="2"/>
      <c r="S6" s="2"/>
      <c r="T6" s="2"/>
      <c r="U6" s="2"/>
      <c r="V6" s="2"/>
      <c r="W6" s="2"/>
      <c r="X6" s="2"/>
      <c r="Y6" s="2"/>
      <c r="Z6" s="2"/>
    </row>
    <row r="7" spans="1:26" ht="12.75" customHeight="1">
      <c r="A7" s="13"/>
      <c r="B7" s="6"/>
      <c r="C7" s="2"/>
      <c r="D7" s="2"/>
      <c r="E7" s="14"/>
      <c r="F7" s="6"/>
      <c r="G7" s="2"/>
      <c r="H7" s="2"/>
      <c r="I7" s="2"/>
      <c r="J7" s="2"/>
      <c r="K7" s="2"/>
      <c r="L7" s="2"/>
      <c r="M7" s="2"/>
      <c r="N7" s="2"/>
      <c r="O7" s="2"/>
      <c r="P7" s="2"/>
      <c r="Q7" s="2"/>
      <c r="R7" s="2"/>
      <c r="S7" s="2"/>
      <c r="T7" s="2"/>
      <c r="U7" s="2"/>
      <c r="V7" s="2"/>
      <c r="W7" s="2"/>
      <c r="X7" s="2"/>
      <c r="Y7" s="2"/>
      <c r="Z7" s="2"/>
    </row>
    <row r="8" spans="1:26" ht="12.75" customHeight="1">
      <c r="A8" s="2"/>
      <c r="B8" s="2"/>
      <c r="C8" s="2"/>
      <c r="D8" s="2"/>
      <c r="E8" s="2"/>
      <c r="F8" s="2"/>
      <c r="G8" s="2"/>
      <c r="H8" s="2"/>
      <c r="I8" s="2"/>
      <c r="J8" s="2"/>
      <c r="K8" s="2"/>
      <c r="L8" s="2"/>
      <c r="M8" s="2"/>
      <c r="N8" s="2"/>
      <c r="O8" s="2"/>
      <c r="P8" s="2"/>
      <c r="Q8" s="2"/>
      <c r="R8" s="2"/>
      <c r="S8" s="2"/>
      <c r="T8" s="2"/>
      <c r="U8" s="2"/>
      <c r="V8" s="2"/>
      <c r="W8" s="2"/>
      <c r="X8" s="2"/>
      <c r="Y8" s="2"/>
      <c r="Z8" s="2"/>
    </row>
    <row r="9" spans="1:26" ht="12.75" customHeight="1">
      <c r="A9" s="15" t="s">
        <v>11</v>
      </c>
      <c r="B9" s="2"/>
      <c r="C9" s="2"/>
      <c r="D9" s="2"/>
      <c r="E9" s="2"/>
      <c r="F9" s="2"/>
      <c r="G9" s="2"/>
      <c r="H9" s="2"/>
      <c r="I9" s="2"/>
      <c r="J9" s="2"/>
      <c r="K9" s="2"/>
      <c r="L9" s="2"/>
      <c r="M9" s="2"/>
      <c r="N9" s="2"/>
      <c r="O9" s="2"/>
      <c r="P9" s="2"/>
      <c r="Q9" s="2"/>
      <c r="R9" s="2"/>
      <c r="S9" s="2"/>
      <c r="T9" s="2"/>
      <c r="U9" s="2"/>
      <c r="V9" s="2"/>
      <c r="W9" s="2"/>
      <c r="X9" s="2"/>
      <c r="Y9" s="2"/>
      <c r="Z9" s="2"/>
    </row>
    <row r="10" spans="1:26" ht="12.75" customHeight="1">
      <c r="A10" s="16" t="s">
        <v>12</v>
      </c>
      <c r="B10" s="17" t="s">
        <v>9</v>
      </c>
      <c r="C10" s="17" t="s">
        <v>13</v>
      </c>
      <c r="D10" s="17" t="s">
        <v>14</v>
      </c>
      <c r="E10" s="17" t="s">
        <v>15</v>
      </c>
      <c r="F10" s="18" t="s">
        <v>16</v>
      </c>
      <c r="G10" s="19"/>
      <c r="H10" s="19"/>
      <c r="I10" s="19"/>
      <c r="J10" s="19"/>
      <c r="K10" s="19"/>
      <c r="L10" s="19"/>
      <c r="M10" s="19"/>
      <c r="N10" s="19"/>
      <c r="O10" s="19"/>
      <c r="P10" s="19"/>
      <c r="Q10" s="19"/>
      <c r="R10" s="19"/>
      <c r="S10" s="19"/>
      <c r="T10" s="19"/>
      <c r="U10" s="19"/>
      <c r="V10" s="19"/>
      <c r="W10" s="19"/>
      <c r="X10" s="19"/>
      <c r="Y10" s="19"/>
      <c r="Z10" s="19"/>
    </row>
    <row r="11" spans="1:26" ht="26.25" customHeight="1">
      <c r="A11" s="20">
        <v>45998</v>
      </c>
      <c r="B11" s="21" t="s">
        <v>10</v>
      </c>
      <c r="C11" s="22"/>
      <c r="D11" s="22" t="s">
        <v>17</v>
      </c>
      <c r="E11" s="22" t="s">
        <v>18</v>
      </c>
      <c r="F11" s="23"/>
      <c r="G11" s="24"/>
      <c r="H11" s="24"/>
      <c r="I11" s="24"/>
      <c r="J11" s="24"/>
      <c r="K11" s="24"/>
      <c r="L11" s="24"/>
      <c r="M11" s="24"/>
      <c r="N11" s="24"/>
      <c r="O11" s="24"/>
      <c r="P11" s="24"/>
      <c r="Q11" s="24"/>
      <c r="R11" s="24"/>
      <c r="S11" s="24"/>
      <c r="T11" s="24"/>
      <c r="U11" s="24"/>
      <c r="V11" s="24"/>
      <c r="W11" s="24"/>
      <c r="X11" s="24"/>
      <c r="Y11" s="24"/>
      <c r="Z11" s="24"/>
    </row>
    <row r="12" spans="1:26" ht="28.5" customHeight="1">
      <c r="A12" s="20">
        <v>45998</v>
      </c>
      <c r="B12" s="21" t="s">
        <v>10</v>
      </c>
      <c r="C12" s="25" t="s">
        <v>19</v>
      </c>
      <c r="D12" s="22" t="s">
        <v>17</v>
      </c>
      <c r="E12" s="22" t="s">
        <v>20</v>
      </c>
      <c r="F12" s="26"/>
      <c r="G12" s="24"/>
      <c r="H12" s="24"/>
      <c r="I12" s="24"/>
      <c r="J12" s="24"/>
      <c r="K12" s="24"/>
      <c r="L12" s="24"/>
      <c r="M12" s="24"/>
      <c r="N12" s="24"/>
      <c r="O12" s="24"/>
      <c r="P12" s="24"/>
      <c r="Q12" s="24"/>
      <c r="R12" s="24"/>
      <c r="S12" s="24"/>
      <c r="T12" s="24"/>
      <c r="U12" s="24"/>
      <c r="V12" s="24"/>
      <c r="W12" s="24"/>
      <c r="X12" s="24"/>
      <c r="Y12" s="24"/>
      <c r="Z12" s="24"/>
    </row>
    <row r="13" spans="1:26" ht="29.25" customHeight="1">
      <c r="A13" s="20">
        <v>46001</v>
      </c>
      <c r="B13" s="21" t="s">
        <v>10</v>
      </c>
      <c r="C13" s="25" t="s">
        <v>19</v>
      </c>
      <c r="D13" s="22" t="s">
        <v>21</v>
      </c>
      <c r="E13" s="22" t="s">
        <v>22</v>
      </c>
      <c r="F13" s="26"/>
      <c r="G13" s="24"/>
      <c r="H13" s="24"/>
      <c r="I13" s="24"/>
      <c r="J13" s="24"/>
      <c r="K13" s="24"/>
      <c r="L13" s="24"/>
      <c r="M13" s="24"/>
      <c r="N13" s="24"/>
      <c r="O13" s="24"/>
      <c r="P13" s="24"/>
      <c r="Q13" s="24"/>
      <c r="R13" s="24"/>
      <c r="S13" s="24"/>
      <c r="T13" s="24"/>
      <c r="U13" s="24"/>
      <c r="V13" s="24"/>
      <c r="W13" s="24"/>
      <c r="X13" s="24"/>
      <c r="Y13" s="24"/>
      <c r="Z13" s="24"/>
    </row>
    <row r="14" spans="1:26" ht="27" customHeight="1">
      <c r="A14" s="20">
        <v>46003</v>
      </c>
      <c r="B14" s="21" t="s">
        <v>10</v>
      </c>
      <c r="C14" s="25" t="s">
        <v>19</v>
      </c>
      <c r="D14" s="22" t="s">
        <v>21</v>
      </c>
      <c r="E14" s="22" t="s">
        <v>23</v>
      </c>
      <c r="F14" s="26"/>
      <c r="G14" s="24"/>
      <c r="H14" s="24"/>
      <c r="I14" s="24"/>
      <c r="J14" s="24"/>
      <c r="K14" s="24"/>
      <c r="L14" s="24"/>
      <c r="M14" s="24"/>
      <c r="N14" s="24"/>
      <c r="O14" s="24"/>
      <c r="P14" s="24"/>
      <c r="Q14" s="24"/>
      <c r="R14" s="24"/>
      <c r="S14" s="24"/>
      <c r="T14" s="24"/>
      <c r="U14" s="24"/>
      <c r="V14" s="24"/>
      <c r="W14" s="24"/>
      <c r="X14" s="24"/>
      <c r="Y14" s="24"/>
      <c r="Z14" s="24"/>
    </row>
    <row r="15" spans="1:26" ht="19.5" customHeight="1">
      <c r="A15" s="27"/>
      <c r="B15" s="21"/>
      <c r="C15" s="22"/>
      <c r="D15" s="22"/>
      <c r="E15" s="22"/>
      <c r="F15" s="26"/>
      <c r="G15" s="24"/>
      <c r="H15" s="24"/>
      <c r="I15" s="24"/>
      <c r="J15" s="24"/>
      <c r="K15" s="24"/>
      <c r="L15" s="24"/>
      <c r="M15" s="24"/>
      <c r="N15" s="24"/>
      <c r="O15" s="24"/>
      <c r="P15" s="24"/>
      <c r="Q15" s="24"/>
      <c r="R15" s="24"/>
      <c r="S15" s="24"/>
      <c r="T15" s="24"/>
      <c r="U15" s="24"/>
      <c r="V15" s="24"/>
      <c r="W15" s="24"/>
      <c r="X15" s="24"/>
      <c r="Y15" s="24"/>
      <c r="Z15" s="24"/>
    </row>
    <row r="16" spans="1:26" ht="21.75" customHeight="1">
      <c r="A16" s="27"/>
      <c r="B16" s="21"/>
      <c r="C16" s="22"/>
      <c r="D16" s="22"/>
      <c r="E16" s="22"/>
      <c r="F16" s="26"/>
      <c r="G16" s="24"/>
      <c r="H16" s="24"/>
      <c r="I16" s="24"/>
      <c r="J16" s="24"/>
      <c r="K16" s="24"/>
      <c r="L16" s="24"/>
      <c r="M16" s="24"/>
      <c r="N16" s="24"/>
      <c r="O16" s="24"/>
      <c r="P16" s="24"/>
      <c r="Q16" s="24"/>
      <c r="R16" s="24"/>
      <c r="S16" s="24"/>
      <c r="T16" s="24"/>
      <c r="U16" s="24"/>
      <c r="V16" s="24"/>
      <c r="W16" s="24"/>
      <c r="X16" s="24"/>
      <c r="Y16" s="24"/>
      <c r="Z16" s="24"/>
    </row>
    <row r="17" spans="1:26" ht="19.5" customHeight="1">
      <c r="A17" s="28"/>
      <c r="B17" s="29"/>
      <c r="C17" s="30"/>
      <c r="D17" s="30"/>
      <c r="E17" s="30"/>
      <c r="F17" s="31"/>
      <c r="G17" s="24"/>
      <c r="H17" s="24"/>
      <c r="I17" s="24"/>
      <c r="J17" s="24"/>
      <c r="K17" s="24"/>
      <c r="L17" s="24"/>
      <c r="M17" s="24"/>
      <c r="N17" s="24"/>
      <c r="O17" s="24"/>
      <c r="P17" s="24"/>
      <c r="Q17" s="24"/>
      <c r="R17" s="24"/>
      <c r="S17" s="24"/>
      <c r="T17" s="24"/>
      <c r="U17" s="24"/>
      <c r="V17" s="24"/>
      <c r="W17" s="24"/>
      <c r="X17" s="24"/>
      <c r="Y17" s="24"/>
      <c r="Z17" s="24"/>
    </row>
    <row r="18" spans="1:26"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ageMargins left="0.47013888888888888" right="0.47013888888888888" top="0.5" bottom="0.35138888888888886" header="0" footer="0"/>
  <pageSetup paperSize="9" orientation="landscape"/>
  <headerFooter>
    <oddFooter>&amp;L 02ae-BM/PM/HDCV/FSOFT v2/1&amp;CInternal use&amp;R&amp;P/</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640625" defaultRowHeight="15" customHeight="1"/>
  <cols>
    <col min="1" max="1" width="1.33203125" customWidth="1"/>
    <col min="2" max="2" width="6.33203125" customWidth="1"/>
    <col min="3" max="3" width="26.44140625" customWidth="1"/>
    <col min="4" max="4" width="27.77734375" customWidth="1"/>
    <col min="5" max="5" width="28.109375" customWidth="1"/>
    <col min="6" max="6" width="30.6640625" customWidth="1"/>
    <col min="7" max="26" width="9" customWidth="1"/>
  </cols>
  <sheetData>
    <row r="1" spans="1:26" ht="12.75" customHeight="1">
      <c r="A1" s="7"/>
      <c r="B1" s="32"/>
      <c r="C1" s="33"/>
      <c r="D1" s="34" t="s">
        <v>24</v>
      </c>
      <c r="E1" s="35"/>
      <c r="F1" s="33"/>
      <c r="G1" s="7"/>
      <c r="H1" s="7"/>
      <c r="I1" s="7"/>
      <c r="J1" s="7"/>
      <c r="K1" s="7"/>
      <c r="L1" s="7"/>
      <c r="M1" s="7"/>
      <c r="N1" s="7"/>
      <c r="O1" s="7"/>
      <c r="P1" s="7"/>
      <c r="Q1" s="7"/>
      <c r="R1" s="7"/>
      <c r="S1" s="7"/>
      <c r="T1" s="7"/>
      <c r="U1" s="7"/>
      <c r="V1" s="7"/>
      <c r="W1" s="7"/>
      <c r="X1" s="7"/>
      <c r="Y1" s="7"/>
      <c r="Z1" s="7"/>
    </row>
    <row r="2" spans="1:26" ht="13.5" customHeight="1">
      <c r="A2" s="7"/>
      <c r="B2" s="32"/>
      <c r="C2" s="33"/>
      <c r="D2" s="36"/>
      <c r="E2" s="36"/>
      <c r="F2" s="33"/>
      <c r="G2" s="7"/>
      <c r="H2" s="7"/>
      <c r="I2" s="7"/>
      <c r="J2" s="7"/>
      <c r="K2" s="7"/>
      <c r="L2" s="7"/>
      <c r="M2" s="7"/>
      <c r="N2" s="7"/>
      <c r="O2" s="7"/>
      <c r="P2" s="7"/>
      <c r="Q2" s="7"/>
      <c r="R2" s="7"/>
      <c r="S2" s="7"/>
      <c r="T2" s="7"/>
      <c r="U2" s="7"/>
      <c r="V2" s="7"/>
      <c r="W2" s="7"/>
      <c r="X2" s="7"/>
      <c r="Y2" s="7"/>
      <c r="Z2" s="7"/>
    </row>
    <row r="3" spans="1:26" ht="12.75" customHeight="1">
      <c r="A3" s="7"/>
      <c r="B3" s="182" t="s">
        <v>1</v>
      </c>
      <c r="C3" s="183"/>
      <c r="D3" s="184" t="s">
        <v>2</v>
      </c>
      <c r="E3" s="178"/>
      <c r="F3" s="179"/>
      <c r="G3" s="7"/>
      <c r="H3" s="7"/>
      <c r="I3" s="7"/>
      <c r="J3" s="7"/>
      <c r="K3" s="7"/>
      <c r="L3" s="7"/>
      <c r="M3" s="7"/>
      <c r="N3" s="7"/>
      <c r="O3" s="7"/>
      <c r="P3" s="7"/>
      <c r="Q3" s="7"/>
      <c r="R3" s="7"/>
      <c r="S3" s="7"/>
      <c r="T3" s="7"/>
      <c r="U3" s="7"/>
      <c r="V3" s="7"/>
      <c r="W3" s="7"/>
      <c r="X3" s="7"/>
      <c r="Y3" s="7"/>
      <c r="Z3" s="7"/>
    </row>
    <row r="4" spans="1:26" ht="12.75" customHeight="1">
      <c r="A4" s="7"/>
      <c r="B4" s="182" t="s">
        <v>5</v>
      </c>
      <c r="C4" s="183"/>
      <c r="D4" s="184" t="s">
        <v>6</v>
      </c>
      <c r="E4" s="178"/>
      <c r="F4" s="179"/>
      <c r="G4" s="7"/>
      <c r="H4" s="7"/>
      <c r="I4" s="7"/>
      <c r="J4" s="7"/>
      <c r="K4" s="7"/>
      <c r="L4" s="7"/>
      <c r="M4" s="7"/>
      <c r="N4" s="7"/>
      <c r="O4" s="7"/>
      <c r="P4" s="7"/>
      <c r="Q4" s="7"/>
      <c r="R4" s="7"/>
      <c r="S4" s="7"/>
      <c r="T4" s="7"/>
      <c r="U4" s="7"/>
      <c r="V4" s="7"/>
      <c r="W4" s="7"/>
      <c r="X4" s="7"/>
      <c r="Y4" s="7"/>
      <c r="Z4" s="7"/>
    </row>
    <row r="5" spans="1:26" ht="84.75" customHeight="1">
      <c r="A5" s="37"/>
      <c r="B5" s="185" t="s">
        <v>25</v>
      </c>
      <c r="C5" s="179"/>
      <c r="D5" s="186" t="s">
        <v>26</v>
      </c>
      <c r="E5" s="178"/>
      <c r="F5" s="179"/>
      <c r="G5" s="38"/>
      <c r="H5" s="37"/>
      <c r="I5" s="37"/>
      <c r="J5" s="37"/>
      <c r="K5" s="37"/>
      <c r="L5" s="37"/>
      <c r="M5" s="37"/>
      <c r="N5" s="37"/>
      <c r="O5" s="37"/>
      <c r="P5" s="37"/>
      <c r="Q5" s="37"/>
      <c r="R5" s="37"/>
      <c r="S5" s="37"/>
      <c r="T5" s="37"/>
      <c r="U5" s="37"/>
      <c r="V5" s="37"/>
      <c r="W5" s="37"/>
      <c r="X5" s="37"/>
      <c r="Y5" s="37"/>
      <c r="Z5" s="37"/>
    </row>
    <row r="6" spans="1:26" ht="12.75" customHeight="1">
      <c r="A6" s="7"/>
      <c r="B6" s="39"/>
      <c r="C6" s="7"/>
      <c r="D6" s="40"/>
      <c r="E6" s="40"/>
      <c r="F6" s="40"/>
      <c r="G6" s="7"/>
      <c r="H6" s="7"/>
      <c r="I6" s="7"/>
      <c r="J6" s="7"/>
      <c r="K6" s="7"/>
      <c r="L6" s="7"/>
      <c r="M6" s="7"/>
      <c r="N6" s="7"/>
      <c r="O6" s="7"/>
      <c r="P6" s="7"/>
      <c r="Q6" s="7"/>
      <c r="R6" s="7"/>
      <c r="S6" s="7"/>
      <c r="T6" s="7"/>
      <c r="U6" s="7"/>
      <c r="V6" s="7"/>
      <c r="W6" s="7"/>
      <c r="X6" s="7"/>
      <c r="Y6" s="7"/>
      <c r="Z6" s="7"/>
    </row>
    <row r="7" spans="1:26" ht="12.75" customHeight="1">
      <c r="A7" s="41"/>
      <c r="B7" s="42"/>
      <c r="C7" s="43"/>
      <c r="D7" s="43"/>
      <c r="E7" s="43"/>
      <c r="F7" s="43"/>
      <c r="G7" s="41"/>
      <c r="H7" s="41"/>
      <c r="I7" s="41"/>
      <c r="J7" s="41"/>
      <c r="K7" s="41"/>
      <c r="L7" s="41"/>
      <c r="M7" s="41"/>
      <c r="N7" s="41"/>
      <c r="O7" s="41"/>
      <c r="P7" s="41"/>
      <c r="Q7" s="41"/>
      <c r="R7" s="41"/>
      <c r="S7" s="41"/>
      <c r="T7" s="41"/>
      <c r="U7" s="41"/>
      <c r="V7" s="41"/>
      <c r="W7" s="41"/>
      <c r="X7" s="41"/>
      <c r="Y7" s="41"/>
      <c r="Z7" s="41"/>
    </row>
    <row r="8" spans="1:26" ht="21" customHeight="1">
      <c r="A8" s="44"/>
      <c r="B8" s="45" t="s">
        <v>27</v>
      </c>
      <c r="C8" s="46" t="s">
        <v>28</v>
      </c>
      <c r="D8" s="46" t="s">
        <v>29</v>
      </c>
      <c r="E8" s="47" t="s">
        <v>30</v>
      </c>
      <c r="F8" s="48" t="s">
        <v>31</v>
      </c>
      <c r="G8" s="44"/>
      <c r="H8" s="44"/>
      <c r="I8" s="44"/>
      <c r="J8" s="44"/>
      <c r="K8" s="44"/>
      <c r="L8" s="44"/>
      <c r="M8" s="44"/>
      <c r="N8" s="44"/>
      <c r="O8" s="44"/>
      <c r="P8" s="44"/>
      <c r="Q8" s="44"/>
      <c r="R8" s="44"/>
      <c r="S8" s="44"/>
      <c r="T8" s="44"/>
      <c r="U8" s="44"/>
      <c r="V8" s="44"/>
      <c r="W8" s="44"/>
      <c r="X8" s="44"/>
      <c r="Y8" s="44"/>
      <c r="Z8" s="44"/>
    </row>
    <row r="9" spans="1:26" ht="12.75" customHeight="1">
      <c r="A9" s="7"/>
      <c r="B9" s="49">
        <v>1</v>
      </c>
      <c r="C9" s="50" t="s">
        <v>32</v>
      </c>
      <c r="D9" s="51" t="s">
        <v>32</v>
      </c>
      <c r="E9" s="52"/>
      <c r="F9" s="53"/>
      <c r="G9" s="7"/>
      <c r="H9" s="7"/>
      <c r="I9" s="7"/>
      <c r="J9" s="7"/>
      <c r="K9" s="7"/>
      <c r="L9" s="7"/>
      <c r="M9" s="7"/>
      <c r="N9" s="7"/>
      <c r="O9" s="7"/>
      <c r="P9" s="7"/>
      <c r="Q9" s="7"/>
      <c r="R9" s="7"/>
      <c r="S9" s="7"/>
      <c r="T9" s="7"/>
      <c r="U9" s="7"/>
      <c r="V9" s="7"/>
      <c r="W9" s="7"/>
      <c r="X9" s="7"/>
      <c r="Y9" s="7"/>
      <c r="Z9" s="7"/>
    </row>
    <row r="10" spans="1:26" ht="12.75" customHeight="1">
      <c r="A10" s="7"/>
      <c r="B10" s="49">
        <v>2</v>
      </c>
      <c r="C10" s="50" t="s">
        <v>33</v>
      </c>
      <c r="D10" s="51" t="s">
        <v>33</v>
      </c>
      <c r="E10" s="52"/>
      <c r="F10" s="53"/>
      <c r="G10" s="7"/>
      <c r="H10" s="7"/>
      <c r="I10" s="7"/>
      <c r="J10" s="7"/>
      <c r="K10" s="7"/>
      <c r="L10" s="7"/>
      <c r="M10" s="7"/>
      <c r="N10" s="7"/>
      <c r="O10" s="7"/>
      <c r="P10" s="7"/>
      <c r="Q10" s="7"/>
      <c r="R10" s="7"/>
      <c r="S10" s="7"/>
      <c r="T10" s="7"/>
      <c r="U10" s="7"/>
      <c r="V10" s="7"/>
      <c r="W10" s="7"/>
      <c r="X10" s="7"/>
      <c r="Y10" s="7"/>
      <c r="Z10" s="7"/>
    </row>
    <row r="11" spans="1:26" ht="12.75" customHeight="1">
      <c r="A11" s="7"/>
      <c r="B11" s="49">
        <v>3</v>
      </c>
      <c r="C11" s="50" t="s">
        <v>34</v>
      </c>
      <c r="D11" s="51" t="s">
        <v>34</v>
      </c>
      <c r="E11" s="52"/>
      <c r="F11" s="53"/>
      <c r="G11" s="7"/>
      <c r="H11" s="7"/>
      <c r="I11" s="7"/>
      <c r="J11" s="7"/>
      <c r="K11" s="7"/>
      <c r="L11" s="7"/>
      <c r="M11" s="7"/>
      <c r="N11" s="7"/>
      <c r="O11" s="7"/>
      <c r="P11" s="7"/>
      <c r="Q11" s="7"/>
      <c r="R11" s="7"/>
      <c r="S11" s="7"/>
      <c r="T11" s="7"/>
      <c r="U11" s="7"/>
      <c r="V11" s="7"/>
      <c r="W11" s="7"/>
      <c r="X11" s="7"/>
      <c r="Y11" s="7"/>
      <c r="Z11" s="7"/>
    </row>
    <row r="12" spans="1:26" ht="12.75" customHeight="1">
      <c r="A12" s="7"/>
      <c r="B12" s="49">
        <v>4</v>
      </c>
      <c r="C12" s="50" t="s">
        <v>35</v>
      </c>
      <c r="D12" s="51" t="s">
        <v>35</v>
      </c>
      <c r="E12" s="52"/>
      <c r="F12" s="53"/>
      <c r="G12" s="7"/>
      <c r="H12" s="7"/>
      <c r="I12" s="7"/>
      <c r="J12" s="7"/>
      <c r="K12" s="7"/>
      <c r="L12" s="7"/>
      <c r="M12" s="7"/>
      <c r="N12" s="7"/>
      <c r="O12" s="7"/>
      <c r="P12" s="7"/>
      <c r="Q12" s="7"/>
      <c r="R12" s="7"/>
      <c r="S12" s="7"/>
      <c r="T12" s="7"/>
      <c r="U12" s="7"/>
      <c r="V12" s="7"/>
      <c r="W12" s="7"/>
      <c r="X12" s="7"/>
      <c r="Y12" s="7"/>
      <c r="Z12" s="7"/>
    </row>
    <row r="13" spans="1:26" ht="12.75" customHeight="1">
      <c r="A13" s="7"/>
      <c r="B13" s="49">
        <v>5</v>
      </c>
      <c r="C13" s="50" t="s">
        <v>36</v>
      </c>
      <c r="D13" s="51" t="s">
        <v>36</v>
      </c>
      <c r="E13" s="52"/>
      <c r="F13" s="53"/>
      <c r="G13" s="7"/>
      <c r="H13" s="7"/>
      <c r="I13" s="7"/>
      <c r="J13" s="7"/>
      <c r="K13" s="7"/>
      <c r="L13" s="7"/>
      <c r="M13" s="7"/>
      <c r="N13" s="7"/>
      <c r="O13" s="7"/>
      <c r="P13" s="7"/>
      <c r="Q13" s="7"/>
      <c r="R13" s="7"/>
      <c r="S13" s="7"/>
      <c r="T13" s="7"/>
      <c r="U13" s="7"/>
      <c r="V13" s="7"/>
      <c r="W13" s="7"/>
      <c r="X13" s="7"/>
      <c r="Y13" s="7"/>
      <c r="Z13" s="7"/>
    </row>
    <row r="14" spans="1:26" ht="12.75" customHeight="1">
      <c r="A14" s="7"/>
      <c r="B14" s="49">
        <v>6</v>
      </c>
      <c r="C14" s="50" t="s">
        <v>37</v>
      </c>
      <c r="D14" s="54" t="s">
        <v>37</v>
      </c>
      <c r="E14" s="55"/>
      <c r="F14" s="53"/>
      <c r="G14" s="7"/>
      <c r="H14" s="7"/>
      <c r="I14" s="7"/>
      <c r="J14" s="7"/>
      <c r="K14" s="7"/>
      <c r="L14" s="7"/>
      <c r="M14" s="7"/>
      <c r="N14" s="7"/>
      <c r="O14" s="7"/>
      <c r="P14" s="7"/>
      <c r="Q14" s="7"/>
      <c r="R14" s="7"/>
      <c r="S14" s="7"/>
      <c r="T14" s="7"/>
      <c r="U14" s="7"/>
      <c r="V14" s="7"/>
      <c r="W14" s="7"/>
      <c r="X14" s="7"/>
      <c r="Y14" s="7"/>
      <c r="Z14" s="7"/>
    </row>
    <row r="15" spans="1:26" ht="12.75" customHeight="1">
      <c r="A15" s="7"/>
      <c r="B15" s="49">
        <v>7</v>
      </c>
      <c r="C15" s="50" t="s">
        <v>38</v>
      </c>
      <c r="D15" s="56" t="s">
        <v>38</v>
      </c>
      <c r="E15" s="55"/>
      <c r="F15" s="53"/>
      <c r="G15" s="7"/>
      <c r="H15" s="7"/>
      <c r="I15" s="7"/>
      <c r="J15" s="7"/>
      <c r="K15" s="7"/>
      <c r="L15" s="7"/>
      <c r="M15" s="7"/>
      <c r="N15" s="7"/>
      <c r="O15" s="7"/>
      <c r="P15" s="7"/>
      <c r="Q15" s="7"/>
      <c r="R15" s="7"/>
      <c r="S15" s="7"/>
      <c r="T15" s="7"/>
      <c r="U15" s="7"/>
      <c r="V15" s="7"/>
      <c r="W15" s="7"/>
      <c r="X15" s="7"/>
      <c r="Y15" s="7"/>
      <c r="Z15" s="7"/>
    </row>
    <row r="16" spans="1:26" ht="12.75" customHeight="1">
      <c r="A16" s="7"/>
      <c r="B16" s="49"/>
      <c r="C16" s="50"/>
      <c r="D16" s="55"/>
      <c r="E16" s="55"/>
      <c r="F16" s="53"/>
      <c r="G16" s="7"/>
      <c r="H16" s="7"/>
      <c r="I16" s="7"/>
      <c r="J16" s="7"/>
      <c r="K16" s="7"/>
      <c r="L16" s="7"/>
      <c r="M16" s="7"/>
      <c r="N16" s="7"/>
      <c r="O16" s="7"/>
      <c r="P16" s="7"/>
      <c r="Q16" s="7"/>
      <c r="R16" s="7"/>
      <c r="S16" s="7"/>
      <c r="T16" s="7"/>
      <c r="U16" s="7"/>
      <c r="V16" s="7"/>
      <c r="W16" s="7"/>
      <c r="X16" s="7"/>
      <c r="Y16" s="7"/>
      <c r="Z16" s="7"/>
    </row>
    <row r="17" spans="1:26" ht="12.75" customHeight="1">
      <c r="A17" s="7"/>
      <c r="B17" s="49"/>
      <c r="C17" s="50"/>
      <c r="D17" s="55"/>
      <c r="E17" s="55"/>
      <c r="F17" s="53"/>
      <c r="G17" s="7"/>
      <c r="H17" s="7"/>
      <c r="I17" s="7"/>
      <c r="J17" s="7"/>
      <c r="K17" s="7"/>
      <c r="L17" s="7"/>
      <c r="M17" s="7"/>
      <c r="N17" s="7"/>
      <c r="O17" s="7"/>
      <c r="P17" s="7"/>
      <c r="Q17" s="7"/>
      <c r="R17" s="7"/>
      <c r="S17" s="7"/>
      <c r="T17" s="7"/>
      <c r="U17" s="7"/>
      <c r="V17" s="7"/>
      <c r="W17" s="7"/>
      <c r="X17" s="7"/>
      <c r="Y17" s="7"/>
      <c r="Z17" s="7"/>
    </row>
    <row r="18" spans="1:26" ht="12.75" customHeight="1">
      <c r="A18" s="7"/>
      <c r="B18" s="49"/>
      <c r="C18" s="50"/>
      <c r="D18" s="55"/>
      <c r="E18" s="55"/>
      <c r="F18" s="53"/>
      <c r="G18" s="7"/>
      <c r="H18" s="7"/>
      <c r="I18" s="7"/>
      <c r="J18" s="7"/>
      <c r="K18" s="7"/>
      <c r="L18" s="7"/>
      <c r="M18" s="7"/>
      <c r="N18" s="7"/>
      <c r="O18" s="7"/>
      <c r="P18" s="7"/>
      <c r="Q18" s="7"/>
      <c r="R18" s="7"/>
      <c r="S18" s="7"/>
      <c r="T18" s="7"/>
      <c r="U18" s="7"/>
      <c r="V18" s="7"/>
      <c r="W18" s="7"/>
      <c r="X18" s="7"/>
      <c r="Y18" s="7"/>
      <c r="Z18" s="7"/>
    </row>
    <row r="19" spans="1:26" ht="12.75" customHeight="1">
      <c r="A19" s="7"/>
      <c r="B19" s="49"/>
      <c r="C19" s="50"/>
      <c r="D19" s="55"/>
      <c r="E19" s="55"/>
      <c r="F19" s="53"/>
      <c r="G19" s="7"/>
      <c r="H19" s="7"/>
      <c r="I19" s="7"/>
      <c r="J19" s="7"/>
      <c r="K19" s="7"/>
      <c r="L19" s="7"/>
      <c r="M19" s="7"/>
      <c r="N19" s="7"/>
      <c r="O19" s="7"/>
      <c r="P19" s="7"/>
      <c r="Q19" s="7"/>
      <c r="R19" s="7"/>
      <c r="S19" s="7"/>
      <c r="T19" s="7"/>
      <c r="U19" s="7"/>
      <c r="V19" s="7"/>
      <c r="W19" s="7"/>
      <c r="X19" s="7"/>
      <c r="Y19" s="7"/>
      <c r="Z19" s="7"/>
    </row>
    <row r="20" spans="1:26" ht="12.75" customHeight="1">
      <c r="A20" s="7"/>
      <c r="B20" s="49"/>
      <c r="C20" s="50"/>
      <c r="D20" s="55"/>
      <c r="E20" s="55"/>
      <c r="F20" s="53"/>
      <c r="G20" s="7"/>
      <c r="H20" s="7"/>
      <c r="I20" s="7"/>
      <c r="J20" s="7"/>
      <c r="K20" s="7"/>
      <c r="L20" s="7"/>
      <c r="M20" s="7"/>
      <c r="N20" s="7"/>
      <c r="O20" s="7"/>
      <c r="P20" s="7"/>
      <c r="Q20" s="7"/>
      <c r="R20" s="7"/>
      <c r="S20" s="7"/>
      <c r="T20" s="7"/>
      <c r="U20" s="7"/>
      <c r="V20" s="7"/>
      <c r="W20" s="7"/>
      <c r="X20" s="7"/>
      <c r="Y20" s="7"/>
      <c r="Z20" s="7"/>
    </row>
    <row r="21" spans="1:26" ht="12.75" customHeight="1">
      <c r="A21" s="7"/>
      <c r="B21" s="57"/>
      <c r="C21" s="58"/>
      <c r="D21" s="59"/>
      <c r="E21" s="59"/>
      <c r="F21" s="60"/>
      <c r="G21" s="7"/>
      <c r="H21" s="7"/>
      <c r="I21" s="7"/>
      <c r="J21" s="7"/>
      <c r="K21" s="7"/>
      <c r="L21" s="7"/>
      <c r="M21" s="7"/>
      <c r="N21" s="7"/>
      <c r="O21" s="7"/>
      <c r="P21" s="7"/>
      <c r="Q21" s="7"/>
      <c r="R21" s="7"/>
      <c r="S21" s="7"/>
      <c r="T21" s="7"/>
      <c r="U21" s="7"/>
      <c r="V21" s="7"/>
      <c r="W21" s="7"/>
      <c r="X21" s="7"/>
      <c r="Y21" s="7"/>
      <c r="Z21" s="7"/>
    </row>
    <row r="22" spans="1:26" ht="12.75" customHeight="1">
      <c r="A22" s="7"/>
      <c r="B22" s="32"/>
      <c r="C22" s="33"/>
      <c r="D22" s="33"/>
      <c r="E22" s="33"/>
      <c r="F22" s="33"/>
      <c r="G22" s="7"/>
      <c r="H22" s="7"/>
      <c r="I22" s="7"/>
      <c r="J22" s="7"/>
      <c r="K22" s="7"/>
      <c r="L22" s="7"/>
      <c r="M22" s="7"/>
      <c r="N22" s="7"/>
      <c r="O22" s="7"/>
      <c r="P22" s="7"/>
      <c r="Q22" s="7"/>
      <c r="R22" s="7"/>
      <c r="S22" s="7"/>
      <c r="T22" s="7"/>
      <c r="U22" s="7"/>
      <c r="V22" s="7"/>
      <c r="W22" s="7"/>
      <c r="X22" s="7"/>
      <c r="Y22" s="7"/>
      <c r="Z22" s="7"/>
    </row>
    <row r="23" spans="1:26" ht="12.75" customHeight="1">
      <c r="A23" s="7"/>
      <c r="B23" s="32"/>
      <c r="C23" s="33"/>
      <c r="D23" s="33"/>
      <c r="E23" s="33"/>
      <c r="F23" s="33"/>
      <c r="G23" s="7"/>
      <c r="H23" s="7"/>
      <c r="I23" s="7"/>
      <c r="J23" s="7"/>
      <c r="K23" s="7"/>
      <c r="L23" s="7"/>
      <c r="M23" s="7"/>
      <c r="N23" s="7"/>
      <c r="O23" s="7"/>
      <c r="P23" s="7"/>
      <c r="Q23" s="7"/>
      <c r="R23" s="7"/>
      <c r="S23" s="7"/>
      <c r="T23" s="7"/>
      <c r="U23" s="7"/>
      <c r="V23" s="7"/>
      <c r="W23" s="7"/>
      <c r="X23" s="7"/>
      <c r="Y23" s="7"/>
      <c r="Z23" s="7"/>
    </row>
    <row r="24" spans="1:26" ht="12.75" customHeight="1">
      <c r="A24" s="7"/>
      <c r="B24" s="32"/>
      <c r="C24" s="33"/>
      <c r="D24" s="33"/>
      <c r="E24" s="33"/>
      <c r="F24" s="33"/>
      <c r="G24" s="7"/>
      <c r="H24" s="7"/>
      <c r="I24" s="7"/>
      <c r="J24" s="7"/>
      <c r="K24" s="7"/>
      <c r="L24" s="7"/>
      <c r="M24" s="7"/>
      <c r="N24" s="7"/>
      <c r="O24" s="7"/>
      <c r="P24" s="7"/>
      <c r="Q24" s="7"/>
      <c r="R24" s="7"/>
      <c r="S24" s="7"/>
      <c r="T24" s="7"/>
      <c r="U24" s="7"/>
      <c r="V24" s="7"/>
      <c r="W24" s="7"/>
      <c r="X24" s="7"/>
      <c r="Y24" s="7"/>
      <c r="Z24" s="7"/>
    </row>
    <row r="25" spans="1:26" ht="12.75" customHeight="1">
      <c r="A25" s="7"/>
      <c r="B25" s="32"/>
      <c r="C25" s="33"/>
      <c r="D25" s="33"/>
      <c r="E25" s="33"/>
      <c r="F25" s="33"/>
      <c r="G25" s="7"/>
      <c r="H25" s="7"/>
      <c r="I25" s="7"/>
      <c r="J25" s="7"/>
      <c r="K25" s="7"/>
      <c r="L25" s="7"/>
      <c r="M25" s="7"/>
      <c r="N25" s="7"/>
      <c r="O25" s="7"/>
      <c r="P25" s="7"/>
      <c r="Q25" s="7"/>
      <c r="R25" s="7"/>
      <c r="S25" s="7"/>
      <c r="T25" s="7"/>
      <c r="U25" s="7"/>
      <c r="V25" s="7"/>
      <c r="W25" s="7"/>
      <c r="X25" s="7"/>
      <c r="Y25" s="7"/>
      <c r="Z25" s="7"/>
    </row>
    <row r="26" spans="1:26" ht="12.75" customHeight="1">
      <c r="A26" s="7"/>
      <c r="B26" s="32"/>
      <c r="C26" s="33"/>
      <c r="D26" s="33"/>
      <c r="E26" s="33"/>
      <c r="F26" s="33"/>
      <c r="G26" s="7"/>
      <c r="H26" s="7"/>
      <c r="I26" s="7"/>
      <c r="J26" s="7"/>
      <c r="K26" s="7"/>
      <c r="L26" s="7"/>
      <c r="M26" s="7"/>
      <c r="N26" s="7"/>
      <c r="O26" s="7"/>
      <c r="P26" s="7"/>
      <c r="Q26" s="7"/>
      <c r="R26" s="7"/>
      <c r="S26" s="7"/>
      <c r="T26" s="7"/>
      <c r="U26" s="7"/>
      <c r="V26" s="7"/>
      <c r="W26" s="7"/>
      <c r="X26" s="7"/>
      <c r="Y26" s="7"/>
      <c r="Z26" s="7"/>
    </row>
    <row r="27" spans="1:26" ht="12.75" customHeight="1">
      <c r="A27" s="7"/>
      <c r="B27" s="32"/>
      <c r="C27" s="33"/>
      <c r="D27" s="33"/>
      <c r="E27" s="33"/>
      <c r="F27" s="33"/>
      <c r="G27" s="7"/>
      <c r="H27" s="7"/>
      <c r="I27" s="7"/>
      <c r="J27" s="7"/>
      <c r="K27" s="7"/>
      <c r="L27" s="7"/>
      <c r="M27" s="7"/>
      <c r="N27" s="7"/>
      <c r="O27" s="7"/>
      <c r="P27" s="7"/>
      <c r="Q27" s="7"/>
      <c r="R27" s="7"/>
      <c r="S27" s="7"/>
      <c r="T27" s="7"/>
      <c r="U27" s="7"/>
      <c r="V27" s="7"/>
      <c r="W27" s="7"/>
      <c r="X27" s="7"/>
      <c r="Y27" s="7"/>
      <c r="Z27" s="7"/>
    </row>
    <row r="28" spans="1:26" ht="12.75" customHeight="1">
      <c r="A28" s="7"/>
      <c r="B28" s="32"/>
      <c r="C28" s="33"/>
      <c r="D28" s="33"/>
      <c r="E28" s="33"/>
      <c r="F28" s="33"/>
      <c r="G28" s="7"/>
      <c r="H28" s="7"/>
      <c r="I28" s="7"/>
      <c r="J28" s="7"/>
      <c r="K28" s="7"/>
      <c r="L28" s="7"/>
      <c r="M28" s="7"/>
      <c r="N28" s="7"/>
      <c r="O28" s="7"/>
      <c r="P28" s="7"/>
      <c r="Q28" s="7"/>
      <c r="R28" s="7"/>
      <c r="S28" s="7"/>
      <c r="T28" s="7"/>
      <c r="U28" s="7"/>
      <c r="V28" s="7"/>
      <c r="W28" s="7"/>
      <c r="X28" s="7"/>
      <c r="Y28" s="7"/>
      <c r="Z28" s="7"/>
    </row>
    <row r="29" spans="1:26" ht="12.75" customHeight="1">
      <c r="A29" s="7"/>
      <c r="B29" s="32"/>
      <c r="C29" s="33"/>
      <c r="D29" s="33"/>
      <c r="E29" s="33"/>
      <c r="F29" s="33"/>
      <c r="G29" s="7"/>
      <c r="H29" s="7"/>
      <c r="I29" s="7"/>
      <c r="J29" s="7"/>
      <c r="K29" s="7"/>
      <c r="L29" s="7"/>
      <c r="M29" s="7"/>
      <c r="N29" s="7"/>
      <c r="O29" s="7"/>
      <c r="P29" s="7"/>
      <c r="Q29" s="7"/>
      <c r="R29" s="7"/>
      <c r="S29" s="7"/>
      <c r="T29" s="7"/>
      <c r="U29" s="7"/>
      <c r="V29" s="7"/>
      <c r="W29" s="7"/>
      <c r="X29" s="7"/>
      <c r="Y29" s="7"/>
      <c r="Z29" s="7"/>
    </row>
    <row r="30" spans="1:26" ht="12.75" customHeight="1">
      <c r="A30" s="7"/>
      <c r="B30" s="32"/>
      <c r="C30" s="33"/>
      <c r="D30" s="33"/>
      <c r="E30" s="33"/>
      <c r="F30" s="33"/>
      <c r="G30" s="7"/>
      <c r="H30" s="7"/>
      <c r="I30" s="7"/>
      <c r="J30" s="7"/>
      <c r="K30" s="7"/>
      <c r="L30" s="7"/>
      <c r="M30" s="7"/>
      <c r="N30" s="7"/>
      <c r="O30" s="7"/>
      <c r="P30" s="7"/>
      <c r="Q30" s="7"/>
      <c r="R30" s="7"/>
      <c r="S30" s="7"/>
      <c r="T30" s="7"/>
      <c r="U30" s="7"/>
      <c r="V30" s="7"/>
      <c r="W30" s="7"/>
      <c r="X30" s="7"/>
      <c r="Y30" s="7"/>
      <c r="Z30" s="7"/>
    </row>
    <row r="31" spans="1:26" ht="12.75" customHeight="1">
      <c r="A31" s="7"/>
      <c r="B31" s="32"/>
      <c r="C31" s="33"/>
      <c r="D31" s="33"/>
      <c r="E31" s="33"/>
      <c r="F31" s="33"/>
      <c r="G31" s="7"/>
      <c r="H31" s="7"/>
      <c r="I31" s="7"/>
      <c r="J31" s="7"/>
      <c r="K31" s="7"/>
      <c r="L31" s="7"/>
      <c r="M31" s="7"/>
      <c r="N31" s="7"/>
      <c r="O31" s="7"/>
      <c r="P31" s="7"/>
      <c r="Q31" s="7"/>
      <c r="R31" s="7"/>
      <c r="S31" s="7"/>
      <c r="T31" s="7"/>
      <c r="U31" s="7"/>
      <c r="V31" s="7"/>
      <c r="W31" s="7"/>
      <c r="X31" s="7"/>
      <c r="Y31" s="7"/>
      <c r="Z31" s="7"/>
    </row>
    <row r="32" spans="1:26" ht="12.75" customHeight="1">
      <c r="A32" s="7"/>
      <c r="B32" s="32"/>
      <c r="C32" s="33"/>
      <c r="D32" s="33"/>
      <c r="E32" s="33"/>
      <c r="F32" s="33"/>
      <c r="G32" s="7"/>
      <c r="H32" s="7"/>
      <c r="I32" s="7"/>
      <c r="J32" s="7"/>
      <c r="K32" s="7"/>
      <c r="L32" s="7"/>
      <c r="M32" s="7"/>
      <c r="N32" s="7"/>
      <c r="O32" s="7"/>
      <c r="P32" s="7"/>
      <c r="Q32" s="7"/>
      <c r="R32" s="7"/>
      <c r="S32" s="7"/>
      <c r="T32" s="7"/>
      <c r="U32" s="7"/>
      <c r="V32" s="7"/>
      <c r="W32" s="7"/>
      <c r="X32" s="7"/>
      <c r="Y32" s="7"/>
      <c r="Z32" s="7"/>
    </row>
    <row r="33" spans="1:26" ht="12.75" customHeight="1">
      <c r="A33" s="7"/>
      <c r="B33" s="32"/>
      <c r="C33" s="33"/>
      <c r="D33" s="33"/>
      <c r="E33" s="33"/>
      <c r="F33" s="33"/>
      <c r="G33" s="7"/>
      <c r="H33" s="7"/>
      <c r="I33" s="7"/>
      <c r="J33" s="7"/>
      <c r="K33" s="7"/>
      <c r="L33" s="7"/>
      <c r="M33" s="7"/>
      <c r="N33" s="7"/>
      <c r="O33" s="7"/>
      <c r="P33" s="7"/>
      <c r="Q33" s="7"/>
      <c r="R33" s="7"/>
      <c r="S33" s="7"/>
      <c r="T33" s="7"/>
      <c r="U33" s="7"/>
      <c r="V33" s="7"/>
      <c r="W33" s="7"/>
      <c r="X33" s="7"/>
      <c r="Y33" s="7"/>
      <c r="Z33" s="7"/>
    </row>
    <row r="34" spans="1:26" ht="12.75" customHeight="1">
      <c r="A34" s="7"/>
      <c r="B34" s="32"/>
      <c r="C34" s="33"/>
      <c r="D34" s="33"/>
      <c r="E34" s="33"/>
      <c r="F34" s="33"/>
      <c r="G34" s="7"/>
      <c r="H34" s="7"/>
      <c r="I34" s="7"/>
      <c r="J34" s="7"/>
      <c r="K34" s="7"/>
      <c r="L34" s="7"/>
      <c r="M34" s="7"/>
      <c r="N34" s="7"/>
      <c r="O34" s="7"/>
      <c r="P34" s="7"/>
      <c r="Q34" s="7"/>
      <c r="R34" s="7"/>
      <c r="S34" s="7"/>
      <c r="T34" s="7"/>
      <c r="U34" s="7"/>
      <c r="V34" s="7"/>
      <c r="W34" s="7"/>
      <c r="X34" s="7"/>
      <c r="Y34" s="7"/>
      <c r="Z34" s="7"/>
    </row>
    <row r="35" spans="1:26" ht="12.75" customHeight="1">
      <c r="A35" s="7"/>
      <c r="B35" s="32"/>
      <c r="C35" s="33"/>
      <c r="D35" s="33"/>
      <c r="E35" s="33"/>
      <c r="F35" s="33"/>
      <c r="G35" s="7"/>
      <c r="H35" s="7"/>
      <c r="I35" s="7"/>
      <c r="J35" s="7"/>
      <c r="K35" s="7"/>
      <c r="L35" s="7"/>
      <c r="M35" s="7"/>
      <c r="N35" s="7"/>
      <c r="O35" s="7"/>
      <c r="P35" s="7"/>
      <c r="Q35" s="7"/>
      <c r="R35" s="7"/>
      <c r="S35" s="7"/>
      <c r="T35" s="7"/>
      <c r="U35" s="7"/>
      <c r="V35" s="7"/>
      <c r="W35" s="7"/>
      <c r="X35" s="7"/>
      <c r="Y35" s="7"/>
      <c r="Z35" s="7"/>
    </row>
    <row r="36" spans="1:26" ht="12.75" customHeight="1">
      <c r="A36" s="7"/>
      <c r="B36" s="32"/>
      <c r="C36" s="33"/>
      <c r="D36" s="33"/>
      <c r="E36" s="33"/>
      <c r="F36" s="33"/>
      <c r="G36" s="7"/>
      <c r="H36" s="7"/>
      <c r="I36" s="7"/>
      <c r="J36" s="7"/>
      <c r="K36" s="7"/>
      <c r="L36" s="7"/>
      <c r="M36" s="7"/>
      <c r="N36" s="7"/>
      <c r="O36" s="7"/>
      <c r="P36" s="7"/>
      <c r="Q36" s="7"/>
      <c r="R36" s="7"/>
      <c r="S36" s="7"/>
      <c r="T36" s="7"/>
      <c r="U36" s="7"/>
      <c r="V36" s="7"/>
      <c r="W36" s="7"/>
      <c r="X36" s="7"/>
      <c r="Y36" s="7"/>
      <c r="Z36" s="7"/>
    </row>
    <row r="37" spans="1:26" ht="12.75" customHeight="1">
      <c r="A37" s="7"/>
      <c r="B37" s="32"/>
      <c r="C37" s="33"/>
      <c r="D37" s="33"/>
      <c r="E37" s="33"/>
      <c r="F37" s="33"/>
      <c r="G37" s="7"/>
      <c r="H37" s="7"/>
      <c r="I37" s="7"/>
      <c r="J37" s="7"/>
      <c r="K37" s="7"/>
      <c r="L37" s="7"/>
      <c r="M37" s="7"/>
      <c r="N37" s="7"/>
      <c r="O37" s="7"/>
      <c r="P37" s="7"/>
      <c r="Q37" s="7"/>
      <c r="R37" s="7"/>
      <c r="S37" s="7"/>
      <c r="T37" s="7"/>
      <c r="U37" s="7"/>
      <c r="V37" s="7"/>
      <c r="W37" s="7"/>
      <c r="X37" s="7"/>
      <c r="Y37" s="7"/>
      <c r="Z37" s="7"/>
    </row>
    <row r="38" spans="1:26" ht="12.75" customHeight="1">
      <c r="A38" s="7"/>
      <c r="B38" s="32"/>
      <c r="C38" s="33"/>
      <c r="D38" s="33"/>
      <c r="E38" s="33"/>
      <c r="F38" s="33"/>
      <c r="G38" s="7"/>
      <c r="H38" s="7"/>
      <c r="I38" s="7"/>
      <c r="J38" s="7"/>
      <c r="K38" s="7"/>
      <c r="L38" s="7"/>
      <c r="M38" s="7"/>
      <c r="N38" s="7"/>
      <c r="O38" s="7"/>
      <c r="P38" s="7"/>
      <c r="Q38" s="7"/>
      <c r="R38" s="7"/>
      <c r="S38" s="7"/>
      <c r="T38" s="7"/>
      <c r="U38" s="7"/>
      <c r="V38" s="7"/>
      <c r="W38" s="7"/>
      <c r="X38" s="7"/>
      <c r="Y38" s="7"/>
      <c r="Z38" s="7"/>
    </row>
    <row r="39" spans="1:26" ht="12.75" customHeight="1">
      <c r="A39" s="7"/>
      <c r="B39" s="32"/>
      <c r="C39" s="33"/>
      <c r="D39" s="33"/>
      <c r="E39" s="33"/>
      <c r="F39" s="33"/>
      <c r="G39" s="7"/>
      <c r="H39" s="7"/>
      <c r="I39" s="7"/>
      <c r="J39" s="7"/>
      <c r="K39" s="7"/>
      <c r="L39" s="7"/>
      <c r="M39" s="7"/>
      <c r="N39" s="7"/>
      <c r="O39" s="7"/>
      <c r="P39" s="7"/>
      <c r="Q39" s="7"/>
      <c r="R39" s="7"/>
      <c r="S39" s="7"/>
      <c r="T39" s="7"/>
      <c r="U39" s="7"/>
      <c r="V39" s="7"/>
      <c r="W39" s="7"/>
      <c r="X39" s="7"/>
      <c r="Y39" s="7"/>
      <c r="Z39" s="7"/>
    </row>
    <row r="40" spans="1:26" ht="12.75" customHeight="1">
      <c r="A40" s="7"/>
      <c r="B40" s="32"/>
      <c r="C40" s="33"/>
      <c r="D40" s="33"/>
      <c r="E40" s="33"/>
      <c r="F40" s="33"/>
      <c r="G40" s="7"/>
      <c r="H40" s="7"/>
      <c r="I40" s="7"/>
      <c r="J40" s="7"/>
      <c r="K40" s="7"/>
      <c r="L40" s="7"/>
      <c r="M40" s="7"/>
      <c r="N40" s="7"/>
      <c r="O40" s="7"/>
      <c r="P40" s="7"/>
      <c r="Q40" s="7"/>
      <c r="R40" s="7"/>
      <c r="S40" s="7"/>
      <c r="T40" s="7"/>
      <c r="U40" s="7"/>
      <c r="V40" s="7"/>
      <c r="W40" s="7"/>
      <c r="X40" s="7"/>
      <c r="Y40" s="7"/>
      <c r="Z40" s="7"/>
    </row>
    <row r="41" spans="1:26" ht="12.75" customHeight="1">
      <c r="A41" s="7"/>
      <c r="B41" s="32"/>
      <c r="C41" s="33"/>
      <c r="D41" s="33"/>
      <c r="E41" s="33"/>
      <c r="F41" s="33"/>
      <c r="G41" s="7"/>
      <c r="H41" s="7"/>
      <c r="I41" s="7"/>
      <c r="J41" s="7"/>
      <c r="K41" s="7"/>
      <c r="L41" s="7"/>
      <c r="M41" s="7"/>
      <c r="N41" s="7"/>
      <c r="O41" s="7"/>
      <c r="P41" s="7"/>
      <c r="Q41" s="7"/>
      <c r="R41" s="7"/>
      <c r="S41" s="7"/>
      <c r="T41" s="7"/>
      <c r="U41" s="7"/>
      <c r="V41" s="7"/>
      <c r="W41" s="7"/>
      <c r="X41" s="7"/>
      <c r="Y41" s="7"/>
      <c r="Z41" s="7"/>
    </row>
    <row r="42" spans="1:26" ht="12.75" customHeight="1">
      <c r="A42" s="7"/>
      <c r="B42" s="32"/>
      <c r="C42" s="33"/>
      <c r="D42" s="33"/>
      <c r="E42" s="33"/>
      <c r="F42" s="33"/>
      <c r="G42" s="7"/>
      <c r="H42" s="7"/>
      <c r="I42" s="7"/>
      <c r="J42" s="7"/>
      <c r="K42" s="7"/>
      <c r="L42" s="7"/>
      <c r="M42" s="7"/>
      <c r="N42" s="7"/>
      <c r="O42" s="7"/>
      <c r="P42" s="7"/>
      <c r="Q42" s="7"/>
      <c r="R42" s="7"/>
      <c r="S42" s="7"/>
      <c r="T42" s="7"/>
      <c r="U42" s="7"/>
      <c r="V42" s="7"/>
      <c r="W42" s="7"/>
      <c r="X42" s="7"/>
      <c r="Y42" s="7"/>
      <c r="Z42" s="7"/>
    </row>
    <row r="43" spans="1:26" ht="12.75" customHeight="1">
      <c r="A43" s="7"/>
      <c r="B43" s="32"/>
      <c r="C43" s="33"/>
      <c r="D43" s="33"/>
      <c r="E43" s="33"/>
      <c r="F43" s="33"/>
      <c r="G43" s="7"/>
      <c r="H43" s="7"/>
      <c r="I43" s="7"/>
      <c r="J43" s="7"/>
      <c r="K43" s="7"/>
      <c r="L43" s="7"/>
      <c r="M43" s="7"/>
      <c r="N43" s="7"/>
      <c r="O43" s="7"/>
      <c r="P43" s="7"/>
      <c r="Q43" s="7"/>
      <c r="R43" s="7"/>
      <c r="S43" s="7"/>
      <c r="T43" s="7"/>
      <c r="U43" s="7"/>
      <c r="V43" s="7"/>
      <c r="W43" s="7"/>
      <c r="X43" s="7"/>
      <c r="Y43" s="7"/>
      <c r="Z43" s="7"/>
    </row>
    <row r="44" spans="1:26" ht="12.75" customHeight="1">
      <c r="A44" s="7"/>
      <c r="B44" s="32"/>
      <c r="C44" s="33"/>
      <c r="D44" s="33"/>
      <c r="E44" s="33"/>
      <c r="F44" s="33"/>
      <c r="G44" s="7"/>
      <c r="H44" s="7"/>
      <c r="I44" s="7"/>
      <c r="J44" s="7"/>
      <c r="K44" s="7"/>
      <c r="L44" s="7"/>
      <c r="M44" s="7"/>
      <c r="N44" s="7"/>
      <c r="O44" s="7"/>
      <c r="P44" s="7"/>
      <c r="Q44" s="7"/>
      <c r="R44" s="7"/>
      <c r="S44" s="7"/>
      <c r="T44" s="7"/>
      <c r="U44" s="7"/>
      <c r="V44" s="7"/>
      <c r="W44" s="7"/>
      <c r="X44" s="7"/>
      <c r="Y44" s="7"/>
      <c r="Z44" s="7"/>
    </row>
    <row r="45" spans="1:26" ht="12.75" customHeight="1">
      <c r="A45" s="7"/>
      <c r="B45" s="32"/>
      <c r="C45" s="33"/>
      <c r="D45" s="33"/>
      <c r="E45" s="33"/>
      <c r="F45" s="33"/>
      <c r="G45" s="7"/>
      <c r="H45" s="7"/>
      <c r="I45" s="7"/>
      <c r="J45" s="7"/>
      <c r="K45" s="7"/>
      <c r="L45" s="7"/>
      <c r="M45" s="7"/>
      <c r="N45" s="7"/>
      <c r="O45" s="7"/>
      <c r="P45" s="7"/>
      <c r="Q45" s="7"/>
      <c r="R45" s="7"/>
      <c r="S45" s="7"/>
      <c r="T45" s="7"/>
      <c r="U45" s="7"/>
      <c r="V45" s="7"/>
      <c r="W45" s="7"/>
      <c r="X45" s="7"/>
      <c r="Y45" s="7"/>
      <c r="Z45" s="7"/>
    </row>
    <row r="46" spans="1:26" ht="12.75" customHeight="1">
      <c r="A46" s="7"/>
      <c r="B46" s="32"/>
      <c r="C46" s="33"/>
      <c r="D46" s="33"/>
      <c r="E46" s="33"/>
      <c r="F46" s="33"/>
      <c r="G46" s="7"/>
      <c r="H46" s="7"/>
      <c r="I46" s="7"/>
      <c r="J46" s="7"/>
      <c r="K46" s="7"/>
      <c r="L46" s="7"/>
      <c r="M46" s="7"/>
      <c r="N46" s="7"/>
      <c r="O46" s="7"/>
      <c r="P46" s="7"/>
      <c r="Q46" s="7"/>
      <c r="R46" s="7"/>
      <c r="S46" s="7"/>
      <c r="T46" s="7"/>
      <c r="U46" s="7"/>
      <c r="V46" s="7"/>
      <c r="W46" s="7"/>
      <c r="X46" s="7"/>
      <c r="Y46" s="7"/>
      <c r="Z46" s="7"/>
    </row>
    <row r="47" spans="1:26" ht="12.75" customHeight="1">
      <c r="A47" s="7"/>
      <c r="B47" s="32"/>
      <c r="C47" s="33"/>
      <c r="D47" s="33"/>
      <c r="E47" s="33"/>
      <c r="F47" s="33"/>
      <c r="G47" s="7"/>
      <c r="H47" s="7"/>
      <c r="I47" s="7"/>
      <c r="J47" s="7"/>
      <c r="K47" s="7"/>
      <c r="L47" s="7"/>
      <c r="M47" s="7"/>
      <c r="N47" s="7"/>
      <c r="O47" s="7"/>
      <c r="P47" s="7"/>
      <c r="Q47" s="7"/>
      <c r="R47" s="7"/>
      <c r="S47" s="7"/>
      <c r="T47" s="7"/>
      <c r="U47" s="7"/>
      <c r="V47" s="7"/>
      <c r="W47" s="7"/>
      <c r="X47" s="7"/>
      <c r="Y47" s="7"/>
      <c r="Z47" s="7"/>
    </row>
    <row r="48" spans="1:26" ht="12.75" customHeight="1">
      <c r="A48" s="7"/>
      <c r="B48" s="32"/>
      <c r="C48" s="33"/>
      <c r="D48" s="33"/>
      <c r="E48" s="33"/>
      <c r="F48" s="33"/>
      <c r="G48" s="7"/>
      <c r="H48" s="7"/>
      <c r="I48" s="7"/>
      <c r="J48" s="7"/>
      <c r="K48" s="7"/>
      <c r="L48" s="7"/>
      <c r="M48" s="7"/>
      <c r="N48" s="7"/>
      <c r="O48" s="7"/>
      <c r="P48" s="7"/>
      <c r="Q48" s="7"/>
      <c r="R48" s="7"/>
      <c r="S48" s="7"/>
      <c r="T48" s="7"/>
      <c r="U48" s="7"/>
      <c r="V48" s="7"/>
      <c r="W48" s="7"/>
      <c r="X48" s="7"/>
      <c r="Y48" s="7"/>
      <c r="Z48" s="7"/>
    </row>
    <row r="49" spans="1:26" ht="12.75" customHeight="1">
      <c r="A49" s="7"/>
      <c r="B49" s="32"/>
      <c r="C49" s="33"/>
      <c r="D49" s="33"/>
      <c r="E49" s="33"/>
      <c r="F49" s="33"/>
      <c r="G49" s="7"/>
      <c r="H49" s="7"/>
      <c r="I49" s="7"/>
      <c r="J49" s="7"/>
      <c r="K49" s="7"/>
      <c r="L49" s="7"/>
      <c r="M49" s="7"/>
      <c r="N49" s="7"/>
      <c r="O49" s="7"/>
      <c r="P49" s="7"/>
      <c r="Q49" s="7"/>
      <c r="R49" s="7"/>
      <c r="S49" s="7"/>
      <c r="T49" s="7"/>
      <c r="U49" s="7"/>
      <c r="V49" s="7"/>
      <c r="W49" s="7"/>
      <c r="X49" s="7"/>
      <c r="Y49" s="7"/>
      <c r="Z49" s="7"/>
    </row>
    <row r="50" spans="1:26" ht="12.75" customHeight="1">
      <c r="A50" s="7"/>
      <c r="B50" s="32"/>
      <c r="C50" s="33"/>
      <c r="D50" s="33"/>
      <c r="E50" s="33"/>
      <c r="F50" s="33"/>
      <c r="G50" s="7"/>
      <c r="H50" s="7"/>
      <c r="I50" s="7"/>
      <c r="J50" s="7"/>
      <c r="K50" s="7"/>
      <c r="L50" s="7"/>
      <c r="M50" s="7"/>
      <c r="N50" s="7"/>
      <c r="O50" s="7"/>
      <c r="P50" s="7"/>
      <c r="Q50" s="7"/>
      <c r="R50" s="7"/>
      <c r="S50" s="7"/>
      <c r="T50" s="7"/>
      <c r="U50" s="7"/>
      <c r="V50" s="7"/>
      <c r="W50" s="7"/>
      <c r="X50" s="7"/>
      <c r="Y50" s="7"/>
      <c r="Z50" s="7"/>
    </row>
    <row r="51" spans="1:26" ht="12.75" customHeight="1">
      <c r="A51" s="7"/>
      <c r="B51" s="32"/>
      <c r="C51" s="33"/>
      <c r="D51" s="33"/>
      <c r="E51" s="33"/>
      <c r="F51" s="33"/>
      <c r="G51" s="7"/>
      <c r="H51" s="7"/>
      <c r="I51" s="7"/>
      <c r="J51" s="7"/>
      <c r="K51" s="7"/>
      <c r="L51" s="7"/>
      <c r="M51" s="7"/>
      <c r="N51" s="7"/>
      <c r="O51" s="7"/>
      <c r="P51" s="7"/>
      <c r="Q51" s="7"/>
      <c r="R51" s="7"/>
      <c r="S51" s="7"/>
      <c r="T51" s="7"/>
      <c r="U51" s="7"/>
      <c r="V51" s="7"/>
      <c r="W51" s="7"/>
      <c r="X51" s="7"/>
      <c r="Y51" s="7"/>
      <c r="Z51" s="7"/>
    </row>
    <row r="52" spans="1:26" ht="12.75" customHeight="1">
      <c r="A52" s="7"/>
      <c r="B52" s="32"/>
      <c r="C52" s="33"/>
      <c r="D52" s="33"/>
      <c r="E52" s="33"/>
      <c r="F52" s="33"/>
      <c r="G52" s="7"/>
      <c r="H52" s="7"/>
      <c r="I52" s="7"/>
      <c r="J52" s="7"/>
      <c r="K52" s="7"/>
      <c r="L52" s="7"/>
      <c r="M52" s="7"/>
      <c r="N52" s="7"/>
      <c r="O52" s="7"/>
      <c r="P52" s="7"/>
      <c r="Q52" s="7"/>
      <c r="R52" s="7"/>
      <c r="S52" s="7"/>
      <c r="T52" s="7"/>
      <c r="U52" s="7"/>
      <c r="V52" s="7"/>
      <c r="W52" s="7"/>
      <c r="X52" s="7"/>
      <c r="Y52" s="7"/>
      <c r="Z52" s="7"/>
    </row>
    <row r="53" spans="1:26" ht="12.75" customHeight="1">
      <c r="A53" s="7"/>
      <c r="B53" s="32"/>
      <c r="C53" s="33"/>
      <c r="D53" s="33"/>
      <c r="E53" s="33"/>
      <c r="F53" s="33"/>
      <c r="G53" s="7"/>
      <c r="H53" s="7"/>
      <c r="I53" s="7"/>
      <c r="J53" s="7"/>
      <c r="K53" s="7"/>
      <c r="L53" s="7"/>
      <c r="M53" s="7"/>
      <c r="N53" s="7"/>
      <c r="O53" s="7"/>
      <c r="P53" s="7"/>
      <c r="Q53" s="7"/>
      <c r="R53" s="7"/>
      <c r="S53" s="7"/>
      <c r="T53" s="7"/>
      <c r="U53" s="7"/>
      <c r="V53" s="7"/>
      <c r="W53" s="7"/>
      <c r="X53" s="7"/>
      <c r="Y53" s="7"/>
      <c r="Z53" s="7"/>
    </row>
    <row r="54" spans="1:26" ht="12.75" customHeight="1">
      <c r="A54" s="7"/>
      <c r="B54" s="32"/>
      <c r="C54" s="33"/>
      <c r="D54" s="33"/>
      <c r="E54" s="33"/>
      <c r="F54" s="33"/>
      <c r="G54" s="7"/>
      <c r="H54" s="7"/>
      <c r="I54" s="7"/>
      <c r="J54" s="7"/>
      <c r="K54" s="7"/>
      <c r="L54" s="7"/>
      <c r="M54" s="7"/>
      <c r="N54" s="7"/>
      <c r="O54" s="7"/>
      <c r="P54" s="7"/>
      <c r="Q54" s="7"/>
      <c r="R54" s="7"/>
      <c r="S54" s="7"/>
      <c r="T54" s="7"/>
      <c r="U54" s="7"/>
      <c r="V54" s="7"/>
      <c r="W54" s="7"/>
      <c r="X54" s="7"/>
      <c r="Y54" s="7"/>
      <c r="Z54" s="7"/>
    </row>
    <row r="55" spans="1:26" ht="12.75" customHeight="1">
      <c r="A55" s="7"/>
      <c r="B55" s="32"/>
      <c r="C55" s="33"/>
      <c r="D55" s="33"/>
      <c r="E55" s="33"/>
      <c r="F55" s="33"/>
      <c r="G55" s="7"/>
      <c r="H55" s="7"/>
      <c r="I55" s="7"/>
      <c r="J55" s="7"/>
      <c r="K55" s="7"/>
      <c r="L55" s="7"/>
      <c r="M55" s="7"/>
      <c r="N55" s="7"/>
      <c r="O55" s="7"/>
      <c r="P55" s="7"/>
      <c r="Q55" s="7"/>
      <c r="R55" s="7"/>
      <c r="S55" s="7"/>
      <c r="T55" s="7"/>
      <c r="U55" s="7"/>
      <c r="V55" s="7"/>
      <c r="W55" s="7"/>
      <c r="X55" s="7"/>
      <c r="Y55" s="7"/>
      <c r="Z55" s="7"/>
    </row>
    <row r="56" spans="1:26" ht="12.75" customHeight="1">
      <c r="A56" s="7"/>
      <c r="B56" s="32"/>
      <c r="C56" s="33"/>
      <c r="D56" s="33"/>
      <c r="E56" s="33"/>
      <c r="F56" s="33"/>
      <c r="G56" s="7"/>
      <c r="H56" s="7"/>
      <c r="I56" s="7"/>
      <c r="J56" s="7"/>
      <c r="K56" s="7"/>
      <c r="L56" s="7"/>
      <c r="M56" s="7"/>
      <c r="N56" s="7"/>
      <c r="O56" s="7"/>
      <c r="P56" s="7"/>
      <c r="Q56" s="7"/>
      <c r="R56" s="7"/>
      <c r="S56" s="7"/>
      <c r="T56" s="7"/>
      <c r="U56" s="7"/>
      <c r="V56" s="7"/>
      <c r="W56" s="7"/>
      <c r="X56" s="7"/>
      <c r="Y56" s="7"/>
      <c r="Z56" s="7"/>
    </row>
    <row r="57" spans="1:26" ht="12.75" customHeight="1">
      <c r="A57" s="7"/>
      <c r="B57" s="32"/>
      <c r="C57" s="33"/>
      <c r="D57" s="33"/>
      <c r="E57" s="33"/>
      <c r="F57" s="33"/>
      <c r="G57" s="7"/>
      <c r="H57" s="7"/>
      <c r="I57" s="7"/>
      <c r="J57" s="7"/>
      <c r="K57" s="7"/>
      <c r="L57" s="7"/>
      <c r="M57" s="7"/>
      <c r="N57" s="7"/>
      <c r="O57" s="7"/>
      <c r="P57" s="7"/>
      <c r="Q57" s="7"/>
      <c r="R57" s="7"/>
      <c r="S57" s="7"/>
      <c r="T57" s="7"/>
      <c r="U57" s="7"/>
      <c r="V57" s="7"/>
      <c r="W57" s="7"/>
      <c r="X57" s="7"/>
      <c r="Y57" s="7"/>
      <c r="Z57" s="7"/>
    </row>
    <row r="58" spans="1:26" ht="12.75" customHeight="1">
      <c r="A58" s="7"/>
      <c r="B58" s="32"/>
      <c r="C58" s="33"/>
      <c r="D58" s="33"/>
      <c r="E58" s="33"/>
      <c r="F58" s="33"/>
      <c r="G58" s="7"/>
      <c r="H58" s="7"/>
      <c r="I58" s="7"/>
      <c r="J58" s="7"/>
      <c r="K58" s="7"/>
      <c r="L58" s="7"/>
      <c r="M58" s="7"/>
      <c r="N58" s="7"/>
      <c r="O58" s="7"/>
      <c r="P58" s="7"/>
      <c r="Q58" s="7"/>
      <c r="R58" s="7"/>
      <c r="S58" s="7"/>
      <c r="T58" s="7"/>
      <c r="U58" s="7"/>
      <c r="V58" s="7"/>
      <c r="W58" s="7"/>
      <c r="X58" s="7"/>
      <c r="Y58" s="7"/>
      <c r="Z58" s="7"/>
    </row>
    <row r="59" spans="1:26" ht="12.75" customHeight="1">
      <c r="A59" s="7"/>
      <c r="B59" s="32"/>
      <c r="C59" s="33"/>
      <c r="D59" s="33"/>
      <c r="E59" s="33"/>
      <c r="F59" s="33"/>
      <c r="G59" s="7"/>
      <c r="H59" s="7"/>
      <c r="I59" s="7"/>
      <c r="J59" s="7"/>
      <c r="K59" s="7"/>
      <c r="L59" s="7"/>
      <c r="M59" s="7"/>
      <c r="N59" s="7"/>
      <c r="O59" s="7"/>
      <c r="P59" s="7"/>
      <c r="Q59" s="7"/>
      <c r="R59" s="7"/>
      <c r="S59" s="7"/>
      <c r="T59" s="7"/>
      <c r="U59" s="7"/>
      <c r="V59" s="7"/>
      <c r="W59" s="7"/>
      <c r="X59" s="7"/>
      <c r="Y59" s="7"/>
      <c r="Z59" s="7"/>
    </row>
    <row r="60" spans="1:26" ht="12.75" customHeight="1">
      <c r="A60" s="7"/>
      <c r="B60" s="32"/>
      <c r="C60" s="33"/>
      <c r="D60" s="33"/>
      <c r="E60" s="33"/>
      <c r="F60" s="33"/>
      <c r="G60" s="7"/>
      <c r="H60" s="7"/>
      <c r="I60" s="7"/>
      <c r="J60" s="7"/>
      <c r="K60" s="7"/>
      <c r="L60" s="7"/>
      <c r="M60" s="7"/>
      <c r="N60" s="7"/>
      <c r="O60" s="7"/>
      <c r="P60" s="7"/>
      <c r="Q60" s="7"/>
      <c r="R60" s="7"/>
      <c r="S60" s="7"/>
      <c r="T60" s="7"/>
      <c r="U60" s="7"/>
      <c r="V60" s="7"/>
      <c r="W60" s="7"/>
      <c r="X60" s="7"/>
      <c r="Y60" s="7"/>
      <c r="Z60" s="7"/>
    </row>
    <row r="61" spans="1:26" ht="12.75" customHeight="1">
      <c r="A61" s="7"/>
      <c r="B61" s="32"/>
      <c r="C61" s="33"/>
      <c r="D61" s="33"/>
      <c r="E61" s="33"/>
      <c r="F61" s="33"/>
      <c r="G61" s="7"/>
      <c r="H61" s="7"/>
      <c r="I61" s="7"/>
      <c r="J61" s="7"/>
      <c r="K61" s="7"/>
      <c r="L61" s="7"/>
      <c r="M61" s="7"/>
      <c r="N61" s="7"/>
      <c r="O61" s="7"/>
      <c r="P61" s="7"/>
      <c r="Q61" s="7"/>
      <c r="R61" s="7"/>
      <c r="S61" s="7"/>
      <c r="T61" s="7"/>
      <c r="U61" s="7"/>
      <c r="V61" s="7"/>
      <c r="W61" s="7"/>
      <c r="X61" s="7"/>
      <c r="Y61" s="7"/>
      <c r="Z61" s="7"/>
    </row>
    <row r="62" spans="1:26" ht="12.75" customHeight="1">
      <c r="A62" s="7"/>
      <c r="B62" s="32"/>
      <c r="C62" s="33"/>
      <c r="D62" s="33"/>
      <c r="E62" s="33"/>
      <c r="F62" s="33"/>
      <c r="G62" s="7"/>
      <c r="H62" s="7"/>
      <c r="I62" s="7"/>
      <c r="J62" s="7"/>
      <c r="K62" s="7"/>
      <c r="L62" s="7"/>
      <c r="M62" s="7"/>
      <c r="N62" s="7"/>
      <c r="O62" s="7"/>
      <c r="P62" s="7"/>
      <c r="Q62" s="7"/>
      <c r="R62" s="7"/>
      <c r="S62" s="7"/>
      <c r="T62" s="7"/>
      <c r="U62" s="7"/>
      <c r="V62" s="7"/>
      <c r="W62" s="7"/>
      <c r="X62" s="7"/>
      <c r="Y62" s="7"/>
      <c r="Z62" s="7"/>
    </row>
    <row r="63" spans="1:26" ht="12.75" customHeight="1">
      <c r="A63" s="7"/>
      <c r="B63" s="32"/>
      <c r="C63" s="33"/>
      <c r="D63" s="33"/>
      <c r="E63" s="33"/>
      <c r="F63" s="33"/>
      <c r="G63" s="7"/>
      <c r="H63" s="7"/>
      <c r="I63" s="7"/>
      <c r="J63" s="7"/>
      <c r="K63" s="7"/>
      <c r="L63" s="7"/>
      <c r="M63" s="7"/>
      <c r="N63" s="7"/>
      <c r="O63" s="7"/>
      <c r="P63" s="7"/>
      <c r="Q63" s="7"/>
      <c r="R63" s="7"/>
      <c r="S63" s="7"/>
      <c r="T63" s="7"/>
      <c r="U63" s="7"/>
      <c r="V63" s="7"/>
      <c r="W63" s="7"/>
      <c r="X63" s="7"/>
      <c r="Y63" s="7"/>
      <c r="Z63" s="7"/>
    </row>
    <row r="64" spans="1:26" ht="12.75" customHeight="1">
      <c r="A64" s="7"/>
      <c r="B64" s="32"/>
      <c r="C64" s="33"/>
      <c r="D64" s="33"/>
      <c r="E64" s="33"/>
      <c r="F64" s="33"/>
      <c r="G64" s="7"/>
      <c r="H64" s="7"/>
      <c r="I64" s="7"/>
      <c r="J64" s="7"/>
      <c r="K64" s="7"/>
      <c r="L64" s="7"/>
      <c r="M64" s="7"/>
      <c r="N64" s="7"/>
      <c r="O64" s="7"/>
      <c r="P64" s="7"/>
      <c r="Q64" s="7"/>
      <c r="R64" s="7"/>
      <c r="S64" s="7"/>
      <c r="T64" s="7"/>
      <c r="U64" s="7"/>
      <c r="V64" s="7"/>
      <c r="W64" s="7"/>
      <c r="X64" s="7"/>
      <c r="Y64" s="7"/>
      <c r="Z64" s="7"/>
    </row>
    <row r="65" spans="1:26" ht="12.75" customHeight="1">
      <c r="A65" s="7"/>
      <c r="B65" s="32"/>
      <c r="C65" s="33"/>
      <c r="D65" s="33"/>
      <c r="E65" s="33"/>
      <c r="F65" s="33"/>
      <c r="G65" s="7"/>
      <c r="H65" s="7"/>
      <c r="I65" s="7"/>
      <c r="J65" s="7"/>
      <c r="K65" s="7"/>
      <c r="L65" s="7"/>
      <c r="M65" s="7"/>
      <c r="N65" s="7"/>
      <c r="O65" s="7"/>
      <c r="P65" s="7"/>
      <c r="Q65" s="7"/>
      <c r="R65" s="7"/>
      <c r="S65" s="7"/>
      <c r="T65" s="7"/>
      <c r="U65" s="7"/>
      <c r="V65" s="7"/>
      <c r="W65" s="7"/>
      <c r="X65" s="7"/>
      <c r="Y65" s="7"/>
      <c r="Z65" s="7"/>
    </row>
    <row r="66" spans="1:26" ht="12.75" customHeight="1">
      <c r="A66" s="7"/>
      <c r="B66" s="32"/>
      <c r="C66" s="33"/>
      <c r="D66" s="33"/>
      <c r="E66" s="33"/>
      <c r="F66" s="33"/>
      <c r="G66" s="7"/>
      <c r="H66" s="7"/>
      <c r="I66" s="7"/>
      <c r="J66" s="7"/>
      <c r="K66" s="7"/>
      <c r="L66" s="7"/>
      <c r="M66" s="7"/>
      <c r="N66" s="7"/>
      <c r="O66" s="7"/>
      <c r="P66" s="7"/>
      <c r="Q66" s="7"/>
      <c r="R66" s="7"/>
      <c r="S66" s="7"/>
      <c r="T66" s="7"/>
      <c r="U66" s="7"/>
      <c r="V66" s="7"/>
      <c r="W66" s="7"/>
      <c r="X66" s="7"/>
      <c r="Y66" s="7"/>
      <c r="Z66" s="7"/>
    </row>
    <row r="67" spans="1:26" ht="12.75" customHeight="1">
      <c r="A67" s="7"/>
      <c r="B67" s="32"/>
      <c r="C67" s="33"/>
      <c r="D67" s="33"/>
      <c r="E67" s="33"/>
      <c r="F67" s="33"/>
      <c r="G67" s="7"/>
      <c r="H67" s="7"/>
      <c r="I67" s="7"/>
      <c r="J67" s="7"/>
      <c r="K67" s="7"/>
      <c r="L67" s="7"/>
      <c r="M67" s="7"/>
      <c r="N67" s="7"/>
      <c r="O67" s="7"/>
      <c r="P67" s="7"/>
      <c r="Q67" s="7"/>
      <c r="R67" s="7"/>
      <c r="S67" s="7"/>
      <c r="T67" s="7"/>
      <c r="U67" s="7"/>
      <c r="V67" s="7"/>
      <c r="W67" s="7"/>
      <c r="X67" s="7"/>
      <c r="Y67" s="7"/>
      <c r="Z67" s="7"/>
    </row>
    <row r="68" spans="1:26" ht="12.75" customHeight="1">
      <c r="A68" s="7"/>
      <c r="B68" s="32"/>
      <c r="C68" s="33"/>
      <c r="D68" s="33"/>
      <c r="E68" s="33"/>
      <c r="F68" s="33"/>
      <c r="G68" s="7"/>
      <c r="H68" s="7"/>
      <c r="I68" s="7"/>
      <c r="J68" s="7"/>
      <c r="K68" s="7"/>
      <c r="L68" s="7"/>
      <c r="M68" s="7"/>
      <c r="N68" s="7"/>
      <c r="O68" s="7"/>
      <c r="P68" s="7"/>
      <c r="Q68" s="7"/>
      <c r="R68" s="7"/>
      <c r="S68" s="7"/>
      <c r="T68" s="7"/>
      <c r="U68" s="7"/>
      <c r="V68" s="7"/>
      <c r="W68" s="7"/>
      <c r="X68" s="7"/>
      <c r="Y68" s="7"/>
      <c r="Z68" s="7"/>
    </row>
    <row r="69" spans="1:26" ht="12.75" customHeight="1">
      <c r="A69" s="7"/>
      <c r="B69" s="32"/>
      <c r="C69" s="33"/>
      <c r="D69" s="33"/>
      <c r="E69" s="33"/>
      <c r="F69" s="33"/>
      <c r="G69" s="7"/>
      <c r="H69" s="7"/>
      <c r="I69" s="7"/>
      <c r="J69" s="7"/>
      <c r="K69" s="7"/>
      <c r="L69" s="7"/>
      <c r="M69" s="7"/>
      <c r="N69" s="7"/>
      <c r="O69" s="7"/>
      <c r="P69" s="7"/>
      <c r="Q69" s="7"/>
      <c r="R69" s="7"/>
      <c r="S69" s="7"/>
      <c r="T69" s="7"/>
      <c r="U69" s="7"/>
      <c r="V69" s="7"/>
      <c r="W69" s="7"/>
      <c r="X69" s="7"/>
      <c r="Y69" s="7"/>
      <c r="Z69" s="7"/>
    </row>
    <row r="70" spans="1:26" ht="12.75" customHeight="1">
      <c r="A70" s="7"/>
      <c r="B70" s="32"/>
      <c r="C70" s="33"/>
      <c r="D70" s="33"/>
      <c r="E70" s="33"/>
      <c r="F70" s="33"/>
      <c r="G70" s="7"/>
      <c r="H70" s="7"/>
      <c r="I70" s="7"/>
      <c r="J70" s="7"/>
      <c r="K70" s="7"/>
      <c r="L70" s="7"/>
      <c r="M70" s="7"/>
      <c r="N70" s="7"/>
      <c r="O70" s="7"/>
      <c r="P70" s="7"/>
      <c r="Q70" s="7"/>
      <c r="R70" s="7"/>
      <c r="S70" s="7"/>
      <c r="T70" s="7"/>
      <c r="U70" s="7"/>
      <c r="V70" s="7"/>
      <c r="W70" s="7"/>
      <c r="X70" s="7"/>
      <c r="Y70" s="7"/>
      <c r="Z70" s="7"/>
    </row>
    <row r="71" spans="1:26" ht="12.75" customHeight="1">
      <c r="A71" s="7"/>
      <c r="B71" s="32"/>
      <c r="C71" s="33"/>
      <c r="D71" s="33"/>
      <c r="E71" s="33"/>
      <c r="F71" s="33"/>
      <c r="G71" s="7"/>
      <c r="H71" s="7"/>
      <c r="I71" s="7"/>
      <c r="J71" s="7"/>
      <c r="K71" s="7"/>
      <c r="L71" s="7"/>
      <c r="M71" s="7"/>
      <c r="N71" s="7"/>
      <c r="O71" s="7"/>
      <c r="P71" s="7"/>
      <c r="Q71" s="7"/>
      <c r="R71" s="7"/>
      <c r="S71" s="7"/>
      <c r="T71" s="7"/>
      <c r="U71" s="7"/>
      <c r="V71" s="7"/>
      <c r="W71" s="7"/>
      <c r="X71" s="7"/>
      <c r="Y71" s="7"/>
      <c r="Z71" s="7"/>
    </row>
    <row r="72" spans="1:26" ht="12.75" customHeight="1">
      <c r="A72" s="7"/>
      <c r="B72" s="32"/>
      <c r="C72" s="33"/>
      <c r="D72" s="33"/>
      <c r="E72" s="33"/>
      <c r="F72" s="33"/>
      <c r="G72" s="7"/>
      <c r="H72" s="7"/>
      <c r="I72" s="7"/>
      <c r="J72" s="7"/>
      <c r="K72" s="7"/>
      <c r="L72" s="7"/>
      <c r="M72" s="7"/>
      <c r="N72" s="7"/>
      <c r="O72" s="7"/>
      <c r="P72" s="7"/>
      <c r="Q72" s="7"/>
      <c r="R72" s="7"/>
      <c r="S72" s="7"/>
      <c r="T72" s="7"/>
      <c r="U72" s="7"/>
      <c r="V72" s="7"/>
      <c r="W72" s="7"/>
      <c r="X72" s="7"/>
      <c r="Y72" s="7"/>
      <c r="Z72" s="7"/>
    </row>
    <row r="73" spans="1:26" ht="12.75" customHeight="1">
      <c r="A73" s="7"/>
      <c r="B73" s="32"/>
      <c r="C73" s="33"/>
      <c r="D73" s="33"/>
      <c r="E73" s="33"/>
      <c r="F73" s="33"/>
      <c r="G73" s="7"/>
      <c r="H73" s="7"/>
      <c r="I73" s="7"/>
      <c r="J73" s="7"/>
      <c r="K73" s="7"/>
      <c r="L73" s="7"/>
      <c r="M73" s="7"/>
      <c r="N73" s="7"/>
      <c r="O73" s="7"/>
      <c r="P73" s="7"/>
      <c r="Q73" s="7"/>
      <c r="R73" s="7"/>
      <c r="S73" s="7"/>
      <c r="T73" s="7"/>
      <c r="U73" s="7"/>
      <c r="V73" s="7"/>
      <c r="W73" s="7"/>
      <c r="X73" s="7"/>
      <c r="Y73" s="7"/>
      <c r="Z73" s="7"/>
    </row>
    <row r="74" spans="1:26" ht="12.75" customHeight="1">
      <c r="A74" s="7"/>
      <c r="B74" s="32"/>
      <c r="C74" s="33"/>
      <c r="D74" s="33"/>
      <c r="E74" s="33"/>
      <c r="F74" s="33"/>
      <c r="G74" s="7"/>
      <c r="H74" s="7"/>
      <c r="I74" s="7"/>
      <c r="J74" s="7"/>
      <c r="K74" s="7"/>
      <c r="L74" s="7"/>
      <c r="M74" s="7"/>
      <c r="N74" s="7"/>
      <c r="O74" s="7"/>
      <c r="P74" s="7"/>
      <c r="Q74" s="7"/>
      <c r="R74" s="7"/>
      <c r="S74" s="7"/>
      <c r="T74" s="7"/>
      <c r="U74" s="7"/>
      <c r="V74" s="7"/>
      <c r="W74" s="7"/>
      <c r="X74" s="7"/>
      <c r="Y74" s="7"/>
      <c r="Z74" s="7"/>
    </row>
    <row r="75" spans="1:26" ht="12.75" customHeight="1">
      <c r="A75" s="7"/>
      <c r="B75" s="32"/>
      <c r="C75" s="33"/>
      <c r="D75" s="33"/>
      <c r="E75" s="33"/>
      <c r="F75" s="33"/>
      <c r="G75" s="7"/>
      <c r="H75" s="7"/>
      <c r="I75" s="7"/>
      <c r="J75" s="7"/>
      <c r="K75" s="7"/>
      <c r="L75" s="7"/>
      <c r="M75" s="7"/>
      <c r="N75" s="7"/>
      <c r="O75" s="7"/>
      <c r="P75" s="7"/>
      <c r="Q75" s="7"/>
      <c r="R75" s="7"/>
      <c r="S75" s="7"/>
      <c r="T75" s="7"/>
      <c r="U75" s="7"/>
      <c r="V75" s="7"/>
      <c r="W75" s="7"/>
      <c r="X75" s="7"/>
      <c r="Y75" s="7"/>
      <c r="Z75" s="7"/>
    </row>
    <row r="76" spans="1:26" ht="12.75" customHeight="1">
      <c r="A76" s="7"/>
      <c r="B76" s="32"/>
      <c r="C76" s="33"/>
      <c r="D76" s="33"/>
      <c r="E76" s="33"/>
      <c r="F76" s="33"/>
      <c r="G76" s="7"/>
      <c r="H76" s="7"/>
      <c r="I76" s="7"/>
      <c r="J76" s="7"/>
      <c r="K76" s="7"/>
      <c r="L76" s="7"/>
      <c r="M76" s="7"/>
      <c r="N76" s="7"/>
      <c r="O76" s="7"/>
      <c r="P76" s="7"/>
      <c r="Q76" s="7"/>
      <c r="R76" s="7"/>
      <c r="S76" s="7"/>
      <c r="T76" s="7"/>
      <c r="U76" s="7"/>
      <c r="V76" s="7"/>
      <c r="W76" s="7"/>
      <c r="X76" s="7"/>
      <c r="Y76" s="7"/>
      <c r="Z76" s="7"/>
    </row>
    <row r="77" spans="1:26" ht="12.75" customHeight="1">
      <c r="A77" s="7"/>
      <c r="B77" s="32"/>
      <c r="C77" s="33"/>
      <c r="D77" s="33"/>
      <c r="E77" s="33"/>
      <c r="F77" s="33"/>
      <c r="G77" s="7"/>
      <c r="H77" s="7"/>
      <c r="I77" s="7"/>
      <c r="J77" s="7"/>
      <c r="K77" s="7"/>
      <c r="L77" s="7"/>
      <c r="M77" s="7"/>
      <c r="N77" s="7"/>
      <c r="O77" s="7"/>
      <c r="P77" s="7"/>
      <c r="Q77" s="7"/>
      <c r="R77" s="7"/>
      <c r="S77" s="7"/>
      <c r="T77" s="7"/>
      <c r="U77" s="7"/>
      <c r="V77" s="7"/>
      <c r="W77" s="7"/>
      <c r="X77" s="7"/>
      <c r="Y77" s="7"/>
      <c r="Z77" s="7"/>
    </row>
    <row r="78" spans="1:26" ht="12.75" customHeight="1">
      <c r="A78" s="7"/>
      <c r="B78" s="32"/>
      <c r="C78" s="33"/>
      <c r="D78" s="33"/>
      <c r="E78" s="33"/>
      <c r="F78" s="33"/>
      <c r="G78" s="7"/>
      <c r="H78" s="7"/>
      <c r="I78" s="7"/>
      <c r="J78" s="7"/>
      <c r="K78" s="7"/>
      <c r="L78" s="7"/>
      <c r="M78" s="7"/>
      <c r="N78" s="7"/>
      <c r="O78" s="7"/>
      <c r="P78" s="7"/>
      <c r="Q78" s="7"/>
      <c r="R78" s="7"/>
      <c r="S78" s="7"/>
      <c r="T78" s="7"/>
      <c r="U78" s="7"/>
      <c r="V78" s="7"/>
      <c r="W78" s="7"/>
      <c r="X78" s="7"/>
      <c r="Y78" s="7"/>
      <c r="Z78" s="7"/>
    </row>
    <row r="79" spans="1:26" ht="12.75" customHeight="1">
      <c r="A79" s="7"/>
      <c r="B79" s="32"/>
      <c r="C79" s="33"/>
      <c r="D79" s="33"/>
      <c r="E79" s="33"/>
      <c r="F79" s="33"/>
      <c r="G79" s="7"/>
      <c r="H79" s="7"/>
      <c r="I79" s="7"/>
      <c r="J79" s="7"/>
      <c r="K79" s="7"/>
      <c r="L79" s="7"/>
      <c r="M79" s="7"/>
      <c r="N79" s="7"/>
      <c r="O79" s="7"/>
      <c r="P79" s="7"/>
      <c r="Q79" s="7"/>
      <c r="R79" s="7"/>
      <c r="S79" s="7"/>
      <c r="T79" s="7"/>
      <c r="U79" s="7"/>
      <c r="V79" s="7"/>
      <c r="W79" s="7"/>
      <c r="X79" s="7"/>
      <c r="Y79" s="7"/>
      <c r="Z79" s="7"/>
    </row>
    <row r="80" spans="1:26" ht="12.75" customHeight="1">
      <c r="A80" s="7"/>
      <c r="B80" s="32"/>
      <c r="C80" s="33"/>
      <c r="D80" s="33"/>
      <c r="E80" s="33"/>
      <c r="F80" s="33"/>
      <c r="G80" s="7"/>
      <c r="H80" s="7"/>
      <c r="I80" s="7"/>
      <c r="J80" s="7"/>
      <c r="K80" s="7"/>
      <c r="L80" s="7"/>
      <c r="M80" s="7"/>
      <c r="N80" s="7"/>
      <c r="O80" s="7"/>
      <c r="P80" s="7"/>
      <c r="Q80" s="7"/>
      <c r="R80" s="7"/>
      <c r="S80" s="7"/>
      <c r="T80" s="7"/>
      <c r="U80" s="7"/>
      <c r="V80" s="7"/>
      <c r="W80" s="7"/>
      <c r="X80" s="7"/>
      <c r="Y80" s="7"/>
      <c r="Z80" s="7"/>
    </row>
    <row r="81" spans="1:26" ht="12.75" customHeight="1">
      <c r="A81" s="7"/>
      <c r="B81" s="32"/>
      <c r="C81" s="33"/>
      <c r="D81" s="33"/>
      <c r="E81" s="33"/>
      <c r="F81" s="33"/>
      <c r="G81" s="7"/>
      <c r="H81" s="7"/>
      <c r="I81" s="7"/>
      <c r="J81" s="7"/>
      <c r="K81" s="7"/>
      <c r="L81" s="7"/>
      <c r="M81" s="7"/>
      <c r="N81" s="7"/>
      <c r="O81" s="7"/>
      <c r="P81" s="7"/>
      <c r="Q81" s="7"/>
      <c r="R81" s="7"/>
      <c r="S81" s="7"/>
      <c r="T81" s="7"/>
      <c r="U81" s="7"/>
      <c r="V81" s="7"/>
      <c r="W81" s="7"/>
      <c r="X81" s="7"/>
      <c r="Y81" s="7"/>
      <c r="Z81" s="7"/>
    </row>
    <row r="82" spans="1:26" ht="12.75" customHeight="1">
      <c r="A82" s="7"/>
      <c r="B82" s="32"/>
      <c r="C82" s="33"/>
      <c r="D82" s="33"/>
      <c r="E82" s="33"/>
      <c r="F82" s="33"/>
      <c r="G82" s="7"/>
      <c r="H82" s="7"/>
      <c r="I82" s="7"/>
      <c r="J82" s="7"/>
      <c r="K82" s="7"/>
      <c r="L82" s="7"/>
      <c r="M82" s="7"/>
      <c r="N82" s="7"/>
      <c r="O82" s="7"/>
      <c r="P82" s="7"/>
      <c r="Q82" s="7"/>
      <c r="R82" s="7"/>
      <c r="S82" s="7"/>
      <c r="T82" s="7"/>
      <c r="U82" s="7"/>
      <c r="V82" s="7"/>
      <c r="W82" s="7"/>
      <c r="X82" s="7"/>
      <c r="Y82" s="7"/>
      <c r="Z82" s="7"/>
    </row>
    <row r="83" spans="1:26" ht="12.75" customHeight="1">
      <c r="A83" s="7"/>
      <c r="B83" s="32"/>
      <c r="C83" s="33"/>
      <c r="D83" s="33"/>
      <c r="E83" s="33"/>
      <c r="F83" s="33"/>
      <c r="G83" s="7"/>
      <c r="H83" s="7"/>
      <c r="I83" s="7"/>
      <c r="J83" s="7"/>
      <c r="K83" s="7"/>
      <c r="L83" s="7"/>
      <c r="M83" s="7"/>
      <c r="N83" s="7"/>
      <c r="O83" s="7"/>
      <c r="P83" s="7"/>
      <c r="Q83" s="7"/>
      <c r="R83" s="7"/>
      <c r="S83" s="7"/>
      <c r="T83" s="7"/>
      <c r="U83" s="7"/>
      <c r="V83" s="7"/>
      <c r="W83" s="7"/>
      <c r="X83" s="7"/>
      <c r="Y83" s="7"/>
      <c r="Z83" s="7"/>
    </row>
    <row r="84" spans="1:26" ht="12.75" customHeight="1">
      <c r="A84" s="7"/>
      <c r="B84" s="32"/>
      <c r="C84" s="33"/>
      <c r="D84" s="33"/>
      <c r="E84" s="33"/>
      <c r="F84" s="33"/>
      <c r="G84" s="7"/>
      <c r="H84" s="7"/>
      <c r="I84" s="7"/>
      <c r="J84" s="7"/>
      <c r="K84" s="7"/>
      <c r="L84" s="7"/>
      <c r="M84" s="7"/>
      <c r="N84" s="7"/>
      <c r="O84" s="7"/>
      <c r="P84" s="7"/>
      <c r="Q84" s="7"/>
      <c r="R84" s="7"/>
      <c r="S84" s="7"/>
      <c r="T84" s="7"/>
      <c r="U84" s="7"/>
      <c r="V84" s="7"/>
      <c r="W84" s="7"/>
      <c r="X84" s="7"/>
      <c r="Y84" s="7"/>
      <c r="Z84" s="7"/>
    </row>
    <row r="85" spans="1:26" ht="12.75" customHeight="1">
      <c r="A85" s="7"/>
      <c r="B85" s="32"/>
      <c r="C85" s="33"/>
      <c r="D85" s="33"/>
      <c r="E85" s="33"/>
      <c r="F85" s="33"/>
      <c r="G85" s="7"/>
      <c r="H85" s="7"/>
      <c r="I85" s="7"/>
      <c r="J85" s="7"/>
      <c r="K85" s="7"/>
      <c r="L85" s="7"/>
      <c r="M85" s="7"/>
      <c r="N85" s="7"/>
      <c r="O85" s="7"/>
      <c r="P85" s="7"/>
      <c r="Q85" s="7"/>
      <c r="R85" s="7"/>
      <c r="S85" s="7"/>
      <c r="T85" s="7"/>
      <c r="U85" s="7"/>
      <c r="V85" s="7"/>
      <c r="W85" s="7"/>
      <c r="X85" s="7"/>
      <c r="Y85" s="7"/>
      <c r="Z85" s="7"/>
    </row>
    <row r="86" spans="1:26" ht="12.75" customHeight="1">
      <c r="A86" s="7"/>
      <c r="B86" s="32"/>
      <c r="C86" s="33"/>
      <c r="D86" s="33"/>
      <c r="E86" s="33"/>
      <c r="F86" s="33"/>
      <c r="G86" s="7"/>
      <c r="H86" s="7"/>
      <c r="I86" s="7"/>
      <c r="J86" s="7"/>
      <c r="K86" s="7"/>
      <c r="L86" s="7"/>
      <c r="M86" s="7"/>
      <c r="N86" s="7"/>
      <c r="O86" s="7"/>
      <c r="P86" s="7"/>
      <c r="Q86" s="7"/>
      <c r="R86" s="7"/>
      <c r="S86" s="7"/>
      <c r="T86" s="7"/>
      <c r="U86" s="7"/>
      <c r="V86" s="7"/>
      <c r="W86" s="7"/>
      <c r="X86" s="7"/>
      <c r="Y86" s="7"/>
      <c r="Z86" s="7"/>
    </row>
    <row r="87" spans="1:26" ht="12.75" customHeight="1">
      <c r="A87" s="7"/>
      <c r="B87" s="32"/>
      <c r="C87" s="33"/>
      <c r="D87" s="33"/>
      <c r="E87" s="33"/>
      <c r="F87" s="33"/>
      <c r="G87" s="7"/>
      <c r="H87" s="7"/>
      <c r="I87" s="7"/>
      <c r="J87" s="7"/>
      <c r="K87" s="7"/>
      <c r="L87" s="7"/>
      <c r="M87" s="7"/>
      <c r="N87" s="7"/>
      <c r="O87" s="7"/>
      <c r="P87" s="7"/>
      <c r="Q87" s="7"/>
      <c r="R87" s="7"/>
      <c r="S87" s="7"/>
      <c r="T87" s="7"/>
      <c r="U87" s="7"/>
      <c r="V87" s="7"/>
      <c r="W87" s="7"/>
      <c r="X87" s="7"/>
      <c r="Y87" s="7"/>
      <c r="Z87" s="7"/>
    </row>
    <row r="88" spans="1:26" ht="12.75" customHeight="1">
      <c r="A88" s="7"/>
      <c r="B88" s="32"/>
      <c r="C88" s="33"/>
      <c r="D88" s="33"/>
      <c r="E88" s="33"/>
      <c r="F88" s="33"/>
      <c r="G88" s="7"/>
      <c r="H88" s="7"/>
      <c r="I88" s="7"/>
      <c r="J88" s="7"/>
      <c r="K88" s="7"/>
      <c r="L88" s="7"/>
      <c r="M88" s="7"/>
      <c r="N88" s="7"/>
      <c r="O88" s="7"/>
      <c r="P88" s="7"/>
      <c r="Q88" s="7"/>
      <c r="R88" s="7"/>
      <c r="S88" s="7"/>
      <c r="T88" s="7"/>
      <c r="U88" s="7"/>
      <c r="V88" s="7"/>
      <c r="W88" s="7"/>
      <c r="X88" s="7"/>
      <c r="Y88" s="7"/>
      <c r="Z88" s="7"/>
    </row>
    <row r="89" spans="1:26" ht="12.75" customHeight="1">
      <c r="A89" s="7"/>
      <c r="B89" s="32"/>
      <c r="C89" s="33"/>
      <c r="D89" s="33"/>
      <c r="E89" s="33"/>
      <c r="F89" s="33"/>
      <c r="G89" s="7"/>
      <c r="H89" s="7"/>
      <c r="I89" s="7"/>
      <c r="J89" s="7"/>
      <c r="K89" s="7"/>
      <c r="L89" s="7"/>
      <c r="M89" s="7"/>
      <c r="N89" s="7"/>
      <c r="O89" s="7"/>
      <c r="P89" s="7"/>
      <c r="Q89" s="7"/>
      <c r="R89" s="7"/>
      <c r="S89" s="7"/>
      <c r="T89" s="7"/>
      <c r="U89" s="7"/>
      <c r="V89" s="7"/>
      <c r="W89" s="7"/>
      <c r="X89" s="7"/>
      <c r="Y89" s="7"/>
      <c r="Z89" s="7"/>
    </row>
    <row r="90" spans="1:26" ht="12.75" customHeight="1">
      <c r="A90" s="7"/>
      <c r="B90" s="32"/>
      <c r="C90" s="33"/>
      <c r="D90" s="33"/>
      <c r="E90" s="33"/>
      <c r="F90" s="33"/>
      <c r="G90" s="7"/>
      <c r="H90" s="7"/>
      <c r="I90" s="7"/>
      <c r="J90" s="7"/>
      <c r="K90" s="7"/>
      <c r="L90" s="7"/>
      <c r="M90" s="7"/>
      <c r="N90" s="7"/>
      <c r="O90" s="7"/>
      <c r="P90" s="7"/>
      <c r="Q90" s="7"/>
      <c r="R90" s="7"/>
      <c r="S90" s="7"/>
      <c r="T90" s="7"/>
      <c r="U90" s="7"/>
      <c r="V90" s="7"/>
      <c r="W90" s="7"/>
      <c r="X90" s="7"/>
      <c r="Y90" s="7"/>
      <c r="Z90" s="7"/>
    </row>
    <row r="91" spans="1:26" ht="12.75" customHeight="1">
      <c r="A91" s="7"/>
      <c r="B91" s="32"/>
      <c r="C91" s="33"/>
      <c r="D91" s="33"/>
      <c r="E91" s="33"/>
      <c r="F91" s="33"/>
      <c r="G91" s="7"/>
      <c r="H91" s="7"/>
      <c r="I91" s="7"/>
      <c r="J91" s="7"/>
      <c r="K91" s="7"/>
      <c r="L91" s="7"/>
      <c r="M91" s="7"/>
      <c r="N91" s="7"/>
      <c r="O91" s="7"/>
      <c r="P91" s="7"/>
      <c r="Q91" s="7"/>
      <c r="R91" s="7"/>
      <c r="S91" s="7"/>
      <c r="T91" s="7"/>
      <c r="U91" s="7"/>
      <c r="V91" s="7"/>
      <c r="W91" s="7"/>
      <c r="X91" s="7"/>
      <c r="Y91" s="7"/>
      <c r="Z91" s="7"/>
    </row>
    <row r="92" spans="1:26" ht="12.75" customHeight="1">
      <c r="A92" s="7"/>
      <c r="B92" s="32"/>
      <c r="C92" s="33"/>
      <c r="D92" s="33"/>
      <c r="E92" s="33"/>
      <c r="F92" s="33"/>
      <c r="G92" s="7"/>
      <c r="H92" s="7"/>
      <c r="I92" s="7"/>
      <c r="J92" s="7"/>
      <c r="K92" s="7"/>
      <c r="L92" s="7"/>
      <c r="M92" s="7"/>
      <c r="N92" s="7"/>
      <c r="O92" s="7"/>
      <c r="P92" s="7"/>
      <c r="Q92" s="7"/>
      <c r="R92" s="7"/>
      <c r="S92" s="7"/>
      <c r="T92" s="7"/>
      <c r="U92" s="7"/>
      <c r="V92" s="7"/>
      <c r="W92" s="7"/>
      <c r="X92" s="7"/>
      <c r="Y92" s="7"/>
      <c r="Z92" s="7"/>
    </row>
    <row r="93" spans="1:26" ht="12.75" customHeight="1">
      <c r="A93" s="7"/>
      <c r="B93" s="32"/>
      <c r="C93" s="33"/>
      <c r="D93" s="33"/>
      <c r="E93" s="33"/>
      <c r="F93" s="33"/>
      <c r="G93" s="7"/>
      <c r="H93" s="7"/>
      <c r="I93" s="7"/>
      <c r="J93" s="7"/>
      <c r="K93" s="7"/>
      <c r="L93" s="7"/>
      <c r="M93" s="7"/>
      <c r="N93" s="7"/>
      <c r="O93" s="7"/>
      <c r="P93" s="7"/>
      <c r="Q93" s="7"/>
      <c r="R93" s="7"/>
      <c r="S93" s="7"/>
      <c r="T93" s="7"/>
      <c r="U93" s="7"/>
      <c r="V93" s="7"/>
      <c r="W93" s="7"/>
      <c r="X93" s="7"/>
      <c r="Y93" s="7"/>
      <c r="Z93" s="7"/>
    </row>
    <row r="94" spans="1:26" ht="12.75" customHeight="1">
      <c r="A94" s="7"/>
      <c r="B94" s="32"/>
      <c r="C94" s="33"/>
      <c r="D94" s="33"/>
      <c r="E94" s="33"/>
      <c r="F94" s="33"/>
      <c r="G94" s="7"/>
      <c r="H94" s="7"/>
      <c r="I94" s="7"/>
      <c r="J94" s="7"/>
      <c r="K94" s="7"/>
      <c r="L94" s="7"/>
      <c r="M94" s="7"/>
      <c r="N94" s="7"/>
      <c r="O94" s="7"/>
      <c r="P94" s="7"/>
      <c r="Q94" s="7"/>
      <c r="R94" s="7"/>
      <c r="S94" s="7"/>
      <c r="T94" s="7"/>
      <c r="U94" s="7"/>
      <c r="V94" s="7"/>
      <c r="W94" s="7"/>
      <c r="X94" s="7"/>
      <c r="Y94" s="7"/>
      <c r="Z94" s="7"/>
    </row>
    <row r="95" spans="1:26" ht="12.75" customHeight="1">
      <c r="A95" s="7"/>
      <c r="B95" s="32"/>
      <c r="C95" s="33"/>
      <c r="D95" s="33"/>
      <c r="E95" s="33"/>
      <c r="F95" s="33"/>
      <c r="G95" s="7"/>
      <c r="H95" s="7"/>
      <c r="I95" s="7"/>
      <c r="J95" s="7"/>
      <c r="K95" s="7"/>
      <c r="L95" s="7"/>
      <c r="M95" s="7"/>
      <c r="N95" s="7"/>
      <c r="O95" s="7"/>
      <c r="P95" s="7"/>
      <c r="Q95" s="7"/>
      <c r="R95" s="7"/>
      <c r="S95" s="7"/>
      <c r="T95" s="7"/>
      <c r="U95" s="7"/>
      <c r="V95" s="7"/>
      <c r="W95" s="7"/>
      <c r="X95" s="7"/>
      <c r="Y95" s="7"/>
      <c r="Z95" s="7"/>
    </row>
    <row r="96" spans="1:26" ht="12.75" customHeight="1">
      <c r="A96" s="7"/>
      <c r="B96" s="32"/>
      <c r="C96" s="33"/>
      <c r="D96" s="33"/>
      <c r="E96" s="33"/>
      <c r="F96" s="33"/>
      <c r="G96" s="7"/>
      <c r="H96" s="7"/>
      <c r="I96" s="7"/>
      <c r="J96" s="7"/>
      <c r="K96" s="7"/>
      <c r="L96" s="7"/>
      <c r="M96" s="7"/>
      <c r="N96" s="7"/>
      <c r="O96" s="7"/>
      <c r="P96" s="7"/>
      <c r="Q96" s="7"/>
      <c r="R96" s="7"/>
      <c r="S96" s="7"/>
      <c r="T96" s="7"/>
      <c r="U96" s="7"/>
      <c r="V96" s="7"/>
      <c r="W96" s="7"/>
      <c r="X96" s="7"/>
      <c r="Y96" s="7"/>
      <c r="Z96" s="7"/>
    </row>
    <row r="97" spans="1:26" ht="12.75" customHeight="1">
      <c r="A97" s="7"/>
      <c r="B97" s="32"/>
      <c r="C97" s="33"/>
      <c r="D97" s="33"/>
      <c r="E97" s="33"/>
      <c r="F97" s="33"/>
      <c r="G97" s="7"/>
      <c r="H97" s="7"/>
      <c r="I97" s="7"/>
      <c r="J97" s="7"/>
      <c r="K97" s="7"/>
      <c r="L97" s="7"/>
      <c r="M97" s="7"/>
      <c r="N97" s="7"/>
      <c r="O97" s="7"/>
      <c r="P97" s="7"/>
      <c r="Q97" s="7"/>
      <c r="R97" s="7"/>
      <c r="S97" s="7"/>
      <c r="T97" s="7"/>
      <c r="U97" s="7"/>
      <c r="V97" s="7"/>
      <c r="W97" s="7"/>
      <c r="X97" s="7"/>
      <c r="Y97" s="7"/>
      <c r="Z97" s="7"/>
    </row>
    <row r="98" spans="1:26" ht="12.75" customHeight="1">
      <c r="A98" s="7"/>
      <c r="B98" s="32"/>
      <c r="C98" s="33"/>
      <c r="D98" s="33"/>
      <c r="E98" s="33"/>
      <c r="F98" s="33"/>
      <c r="G98" s="7"/>
      <c r="H98" s="7"/>
      <c r="I98" s="7"/>
      <c r="J98" s="7"/>
      <c r="K98" s="7"/>
      <c r="L98" s="7"/>
      <c r="M98" s="7"/>
      <c r="N98" s="7"/>
      <c r="O98" s="7"/>
      <c r="P98" s="7"/>
      <c r="Q98" s="7"/>
      <c r="R98" s="7"/>
      <c r="S98" s="7"/>
      <c r="T98" s="7"/>
      <c r="U98" s="7"/>
      <c r="V98" s="7"/>
      <c r="W98" s="7"/>
      <c r="X98" s="7"/>
      <c r="Y98" s="7"/>
      <c r="Z98" s="7"/>
    </row>
    <row r="99" spans="1:26" ht="12.75" customHeight="1">
      <c r="A99" s="7"/>
      <c r="B99" s="32"/>
      <c r="C99" s="33"/>
      <c r="D99" s="33"/>
      <c r="E99" s="33"/>
      <c r="F99" s="33"/>
      <c r="G99" s="7"/>
      <c r="H99" s="7"/>
      <c r="I99" s="7"/>
      <c r="J99" s="7"/>
      <c r="K99" s="7"/>
      <c r="L99" s="7"/>
      <c r="M99" s="7"/>
      <c r="N99" s="7"/>
      <c r="O99" s="7"/>
      <c r="P99" s="7"/>
      <c r="Q99" s="7"/>
      <c r="R99" s="7"/>
      <c r="S99" s="7"/>
      <c r="T99" s="7"/>
      <c r="U99" s="7"/>
      <c r="V99" s="7"/>
      <c r="W99" s="7"/>
      <c r="X99" s="7"/>
      <c r="Y99" s="7"/>
      <c r="Z99" s="7"/>
    </row>
    <row r="100" spans="1:26" ht="12.75" customHeight="1">
      <c r="A100" s="7"/>
      <c r="B100" s="32"/>
      <c r="C100" s="33"/>
      <c r="D100" s="33"/>
      <c r="E100" s="33"/>
      <c r="F100" s="33"/>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32"/>
      <c r="C101" s="33"/>
      <c r="D101" s="33"/>
      <c r="E101" s="33"/>
      <c r="F101" s="33"/>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32"/>
      <c r="C102" s="33"/>
      <c r="D102" s="33"/>
      <c r="E102" s="33"/>
      <c r="F102" s="33"/>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32"/>
      <c r="C103" s="33"/>
      <c r="D103" s="33"/>
      <c r="E103" s="33"/>
      <c r="F103" s="33"/>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32"/>
      <c r="C104" s="33"/>
      <c r="D104" s="33"/>
      <c r="E104" s="33"/>
      <c r="F104" s="33"/>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32"/>
      <c r="C105" s="33"/>
      <c r="D105" s="33"/>
      <c r="E105" s="33"/>
      <c r="F105" s="33"/>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32"/>
      <c r="C106" s="33"/>
      <c r="D106" s="33"/>
      <c r="E106" s="33"/>
      <c r="F106" s="33"/>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32"/>
      <c r="C107" s="33"/>
      <c r="D107" s="33"/>
      <c r="E107" s="33"/>
      <c r="F107" s="33"/>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32"/>
      <c r="C108" s="33"/>
      <c r="D108" s="33"/>
      <c r="E108" s="33"/>
      <c r="F108" s="33"/>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32"/>
      <c r="C109" s="33"/>
      <c r="D109" s="33"/>
      <c r="E109" s="33"/>
      <c r="F109" s="33"/>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32"/>
      <c r="C110" s="33"/>
      <c r="D110" s="33"/>
      <c r="E110" s="33"/>
      <c r="F110" s="33"/>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32"/>
      <c r="C111" s="33"/>
      <c r="D111" s="33"/>
      <c r="E111" s="33"/>
      <c r="F111" s="33"/>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32"/>
      <c r="C112" s="33"/>
      <c r="D112" s="33"/>
      <c r="E112" s="33"/>
      <c r="F112" s="33"/>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32"/>
      <c r="C113" s="33"/>
      <c r="D113" s="33"/>
      <c r="E113" s="33"/>
      <c r="F113" s="33"/>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32"/>
      <c r="C114" s="33"/>
      <c r="D114" s="33"/>
      <c r="E114" s="33"/>
      <c r="F114" s="33"/>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32"/>
      <c r="C115" s="33"/>
      <c r="D115" s="33"/>
      <c r="E115" s="33"/>
      <c r="F115" s="33"/>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32"/>
      <c r="C116" s="33"/>
      <c r="D116" s="33"/>
      <c r="E116" s="33"/>
      <c r="F116" s="33"/>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32"/>
      <c r="C117" s="33"/>
      <c r="D117" s="33"/>
      <c r="E117" s="33"/>
      <c r="F117" s="33"/>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32"/>
      <c r="C118" s="33"/>
      <c r="D118" s="33"/>
      <c r="E118" s="33"/>
      <c r="F118" s="33"/>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32"/>
      <c r="C119" s="33"/>
      <c r="D119" s="33"/>
      <c r="E119" s="33"/>
      <c r="F119" s="33"/>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32"/>
      <c r="C120" s="33"/>
      <c r="D120" s="33"/>
      <c r="E120" s="33"/>
      <c r="F120" s="33"/>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32"/>
      <c r="C121" s="33"/>
      <c r="D121" s="33"/>
      <c r="E121" s="33"/>
      <c r="F121" s="33"/>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32"/>
      <c r="C122" s="33"/>
      <c r="D122" s="33"/>
      <c r="E122" s="33"/>
      <c r="F122" s="33"/>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32"/>
      <c r="C123" s="33"/>
      <c r="D123" s="33"/>
      <c r="E123" s="33"/>
      <c r="F123" s="33"/>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32"/>
      <c r="C124" s="33"/>
      <c r="D124" s="33"/>
      <c r="E124" s="33"/>
      <c r="F124" s="33"/>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32"/>
      <c r="C125" s="33"/>
      <c r="D125" s="33"/>
      <c r="E125" s="33"/>
      <c r="F125" s="33"/>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32"/>
      <c r="C126" s="33"/>
      <c r="D126" s="33"/>
      <c r="E126" s="33"/>
      <c r="F126" s="33"/>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32"/>
      <c r="C127" s="33"/>
      <c r="D127" s="33"/>
      <c r="E127" s="33"/>
      <c r="F127" s="33"/>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32"/>
      <c r="C128" s="33"/>
      <c r="D128" s="33"/>
      <c r="E128" s="33"/>
      <c r="F128" s="33"/>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32"/>
      <c r="C129" s="33"/>
      <c r="D129" s="33"/>
      <c r="E129" s="33"/>
      <c r="F129" s="33"/>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32"/>
      <c r="C130" s="33"/>
      <c r="D130" s="33"/>
      <c r="E130" s="33"/>
      <c r="F130" s="33"/>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32"/>
      <c r="C131" s="33"/>
      <c r="D131" s="33"/>
      <c r="E131" s="33"/>
      <c r="F131" s="33"/>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32"/>
      <c r="C132" s="33"/>
      <c r="D132" s="33"/>
      <c r="E132" s="33"/>
      <c r="F132" s="33"/>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32"/>
      <c r="C133" s="33"/>
      <c r="D133" s="33"/>
      <c r="E133" s="33"/>
      <c r="F133" s="33"/>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32"/>
      <c r="C134" s="33"/>
      <c r="D134" s="33"/>
      <c r="E134" s="33"/>
      <c r="F134" s="33"/>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32"/>
      <c r="C135" s="33"/>
      <c r="D135" s="33"/>
      <c r="E135" s="33"/>
      <c r="F135" s="33"/>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32"/>
      <c r="C136" s="33"/>
      <c r="D136" s="33"/>
      <c r="E136" s="33"/>
      <c r="F136" s="33"/>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32"/>
      <c r="C137" s="33"/>
      <c r="D137" s="33"/>
      <c r="E137" s="33"/>
      <c r="F137" s="33"/>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32"/>
      <c r="C138" s="33"/>
      <c r="D138" s="33"/>
      <c r="E138" s="33"/>
      <c r="F138" s="33"/>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32"/>
      <c r="C139" s="33"/>
      <c r="D139" s="33"/>
      <c r="E139" s="33"/>
      <c r="F139" s="33"/>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32"/>
      <c r="C140" s="33"/>
      <c r="D140" s="33"/>
      <c r="E140" s="33"/>
      <c r="F140" s="33"/>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32"/>
      <c r="C141" s="33"/>
      <c r="D141" s="33"/>
      <c r="E141" s="33"/>
      <c r="F141" s="33"/>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32"/>
      <c r="C142" s="33"/>
      <c r="D142" s="33"/>
      <c r="E142" s="33"/>
      <c r="F142" s="33"/>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32"/>
      <c r="C143" s="33"/>
      <c r="D143" s="33"/>
      <c r="E143" s="33"/>
      <c r="F143" s="33"/>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32"/>
      <c r="C144" s="33"/>
      <c r="D144" s="33"/>
      <c r="E144" s="33"/>
      <c r="F144" s="33"/>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32"/>
      <c r="C145" s="33"/>
      <c r="D145" s="33"/>
      <c r="E145" s="33"/>
      <c r="F145" s="33"/>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32"/>
      <c r="C146" s="33"/>
      <c r="D146" s="33"/>
      <c r="E146" s="33"/>
      <c r="F146" s="33"/>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32"/>
      <c r="C147" s="33"/>
      <c r="D147" s="33"/>
      <c r="E147" s="33"/>
      <c r="F147" s="33"/>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32"/>
      <c r="C148" s="33"/>
      <c r="D148" s="33"/>
      <c r="E148" s="33"/>
      <c r="F148" s="33"/>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32"/>
      <c r="C149" s="33"/>
      <c r="D149" s="33"/>
      <c r="E149" s="33"/>
      <c r="F149" s="33"/>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32"/>
      <c r="C150" s="33"/>
      <c r="D150" s="33"/>
      <c r="E150" s="33"/>
      <c r="F150" s="33"/>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32"/>
      <c r="C151" s="33"/>
      <c r="D151" s="33"/>
      <c r="E151" s="33"/>
      <c r="F151" s="33"/>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32"/>
      <c r="C152" s="33"/>
      <c r="D152" s="33"/>
      <c r="E152" s="33"/>
      <c r="F152" s="33"/>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32"/>
      <c r="C153" s="33"/>
      <c r="D153" s="33"/>
      <c r="E153" s="33"/>
      <c r="F153" s="33"/>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32"/>
      <c r="C154" s="33"/>
      <c r="D154" s="33"/>
      <c r="E154" s="33"/>
      <c r="F154" s="33"/>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32"/>
      <c r="C155" s="33"/>
      <c r="D155" s="33"/>
      <c r="E155" s="33"/>
      <c r="F155" s="33"/>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32"/>
      <c r="C156" s="33"/>
      <c r="D156" s="33"/>
      <c r="E156" s="33"/>
      <c r="F156" s="33"/>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32"/>
      <c r="C157" s="33"/>
      <c r="D157" s="33"/>
      <c r="E157" s="33"/>
      <c r="F157" s="33"/>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32"/>
      <c r="C158" s="33"/>
      <c r="D158" s="33"/>
      <c r="E158" s="33"/>
      <c r="F158" s="33"/>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32"/>
      <c r="C159" s="33"/>
      <c r="D159" s="33"/>
      <c r="E159" s="33"/>
      <c r="F159" s="33"/>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32"/>
      <c r="C160" s="33"/>
      <c r="D160" s="33"/>
      <c r="E160" s="33"/>
      <c r="F160" s="33"/>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32"/>
      <c r="C161" s="33"/>
      <c r="D161" s="33"/>
      <c r="E161" s="33"/>
      <c r="F161" s="33"/>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32"/>
      <c r="C162" s="33"/>
      <c r="D162" s="33"/>
      <c r="E162" s="33"/>
      <c r="F162" s="33"/>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32"/>
      <c r="C163" s="33"/>
      <c r="D163" s="33"/>
      <c r="E163" s="33"/>
      <c r="F163" s="33"/>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32"/>
      <c r="C164" s="33"/>
      <c r="D164" s="33"/>
      <c r="E164" s="33"/>
      <c r="F164" s="33"/>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32"/>
      <c r="C165" s="33"/>
      <c r="D165" s="33"/>
      <c r="E165" s="33"/>
      <c r="F165" s="33"/>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32"/>
      <c r="C166" s="33"/>
      <c r="D166" s="33"/>
      <c r="E166" s="33"/>
      <c r="F166" s="33"/>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32"/>
      <c r="C167" s="33"/>
      <c r="D167" s="33"/>
      <c r="E167" s="33"/>
      <c r="F167" s="33"/>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32"/>
      <c r="C168" s="33"/>
      <c r="D168" s="33"/>
      <c r="E168" s="33"/>
      <c r="F168" s="33"/>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32"/>
      <c r="C169" s="33"/>
      <c r="D169" s="33"/>
      <c r="E169" s="33"/>
      <c r="F169" s="33"/>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32"/>
      <c r="C170" s="33"/>
      <c r="D170" s="33"/>
      <c r="E170" s="33"/>
      <c r="F170" s="33"/>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32"/>
      <c r="C171" s="33"/>
      <c r="D171" s="33"/>
      <c r="E171" s="33"/>
      <c r="F171" s="33"/>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32"/>
      <c r="C172" s="33"/>
      <c r="D172" s="33"/>
      <c r="E172" s="33"/>
      <c r="F172" s="33"/>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32"/>
      <c r="C173" s="33"/>
      <c r="D173" s="33"/>
      <c r="E173" s="33"/>
      <c r="F173" s="33"/>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32"/>
      <c r="C174" s="33"/>
      <c r="D174" s="33"/>
      <c r="E174" s="33"/>
      <c r="F174" s="33"/>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32"/>
      <c r="C175" s="33"/>
      <c r="D175" s="33"/>
      <c r="E175" s="33"/>
      <c r="F175" s="33"/>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32"/>
      <c r="C176" s="33"/>
      <c r="D176" s="33"/>
      <c r="E176" s="33"/>
      <c r="F176" s="33"/>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32"/>
      <c r="C177" s="33"/>
      <c r="D177" s="33"/>
      <c r="E177" s="33"/>
      <c r="F177" s="33"/>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32"/>
      <c r="C178" s="33"/>
      <c r="D178" s="33"/>
      <c r="E178" s="33"/>
      <c r="F178" s="33"/>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32"/>
      <c r="C179" s="33"/>
      <c r="D179" s="33"/>
      <c r="E179" s="33"/>
      <c r="F179" s="33"/>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32"/>
      <c r="C180" s="33"/>
      <c r="D180" s="33"/>
      <c r="E180" s="33"/>
      <c r="F180" s="33"/>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32"/>
      <c r="C181" s="33"/>
      <c r="D181" s="33"/>
      <c r="E181" s="33"/>
      <c r="F181" s="33"/>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32"/>
      <c r="C182" s="33"/>
      <c r="D182" s="33"/>
      <c r="E182" s="33"/>
      <c r="F182" s="33"/>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32"/>
      <c r="C183" s="33"/>
      <c r="D183" s="33"/>
      <c r="E183" s="33"/>
      <c r="F183" s="33"/>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32"/>
      <c r="C184" s="33"/>
      <c r="D184" s="33"/>
      <c r="E184" s="33"/>
      <c r="F184" s="33"/>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32"/>
      <c r="C185" s="33"/>
      <c r="D185" s="33"/>
      <c r="E185" s="33"/>
      <c r="F185" s="33"/>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32"/>
      <c r="C186" s="33"/>
      <c r="D186" s="33"/>
      <c r="E186" s="33"/>
      <c r="F186" s="33"/>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32"/>
      <c r="C187" s="33"/>
      <c r="D187" s="33"/>
      <c r="E187" s="33"/>
      <c r="F187" s="33"/>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32"/>
      <c r="C188" s="33"/>
      <c r="D188" s="33"/>
      <c r="E188" s="33"/>
      <c r="F188" s="33"/>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32"/>
      <c r="C189" s="33"/>
      <c r="D189" s="33"/>
      <c r="E189" s="33"/>
      <c r="F189" s="33"/>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32"/>
      <c r="C190" s="33"/>
      <c r="D190" s="33"/>
      <c r="E190" s="33"/>
      <c r="F190" s="33"/>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32"/>
      <c r="C191" s="33"/>
      <c r="D191" s="33"/>
      <c r="E191" s="33"/>
      <c r="F191" s="33"/>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32"/>
      <c r="C192" s="33"/>
      <c r="D192" s="33"/>
      <c r="E192" s="33"/>
      <c r="F192" s="33"/>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32"/>
      <c r="C193" s="33"/>
      <c r="D193" s="33"/>
      <c r="E193" s="33"/>
      <c r="F193" s="33"/>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32"/>
      <c r="C194" s="33"/>
      <c r="D194" s="33"/>
      <c r="E194" s="33"/>
      <c r="F194" s="33"/>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32"/>
      <c r="C195" s="33"/>
      <c r="D195" s="33"/>
      <c r="E195" s="33"/>
      <c r="F195" s="33"/>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32"/>
      <c r="C196" s="33"/>
      <c r="D196" s="33"/>
      <c r="E196" s="33"/>
      <c r="F196" s="33"/>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32"/>
      <c r="C197" s="33"/>
      <c r="D197" s="33"/>
      <c r="E197" s="33"/>
      <c r="F197" s="33"/>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32"/>
      <c r="C198" s="33"/>
      <c r="D198" s="33"/>
      <c r="E198" s="33"/>
      <c r="F198" s="33"/>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32"/>
      <c r="C199" s="33"/>
      <c r="D199" s="33"/>
      <c r="E199" s="33"/>
      <c r="F199" s="33"/>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32"/>
      <c r="C200" s="33"/>
      <c r="D200" s="33"/>
      <c r="E200" s="33"/>
      <c r="F200" s="33"/>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32"/>
      <c r="C201" s="33"/>
      <c r="D201" s="33"/>
      <c r="E201" s="33"/>
      <c r="F201" s="33"/>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32"/>
      <c r="C202" s="33"/>
      <c r="D202" s="33"/>
      <c r="E202" s="33"/>
      <c r="F202" s="33"/>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32"/>
      <c r="C203" s="33"/>
      <c r="D203" s="33"/>
      <c r="E203" s="33"/>
      <c r="F203" s="33"/>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32"/>
      <c r="C204" s="33"/>
      <c r="D204" s="33"/>
      <c r="E204" s="33"/>
      <c r="F204" s="33"/>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32"/>
      <c r="C205" s="33"/>
      <c r="D205" s="33"/>
      <c r="E205" s="33"/>
      <c r="F205" s="33"/>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32"/>
      <c r="C206" s="33"/>
      <c r="D206" s="33"/>
      <c r="E206" s="33"/>
      <c r="F206" s="33"/>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32"/>
      <c r="C207" s="33"/>
      <c r="D207" s="33"/>
      <c r="E207" s="33"/>
      <c r="F207" s="33"/>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32"/>
      <c r="C208" s="33"/>
      <c r="D208" s="33"/>
      <c r="E208" s="33"/>
      <c r="F208" s="33"/>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32"/>
      <c r="C209" s="33"/>
      <c r="D209" s="33"/>
      <c r="E209" s="33"/>
      <c r="F209" s="33"/>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32"/>
      <c r="C210" s="33"/>
      <c r="D210" s="33"/>
      <c r="E210" s="33"/>
      <c r="F210" s="33"/>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32"/>
      <c r="C211" s="33"/>
      <c r="D211" s="33"/>
      <c r="E211" s="33"/>
      <c r="F211" s="33"/>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32"/>
      <c r="C212" s="33"/>
      <c r="D212" s="33"/>
      <c r="E212" s="33"/>
      <c r="F212" s="33"/>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32"/>
      <c r="C213" s="33"/>
      <c r="D213" s="33"/>
      <c r="E213" s="33"/>
      <c r="F213" s="33"/>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32"/>
      <c r="C214" s="33"/>
      <c r="D214" s="33"/>
      <c r="E214" s="33"/>
      <c r="F214" s="33"/>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32"/>
      <c r="C215" s="33"/>
      <c r="D215" s="33"/>
      <c r="E215" s="33"/>
      <c r="F215" s="33"/>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32"/>
      <c r="C216" s="33"/>
      <c r="D216" s="33"/>
      <c r="E216" s="33"/>
      <c r="F216" s="33"/>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32"/>
      <c r="C217" s="33"/>
      <c r="D217" s="33"/>
      <c r="E217" s="33"/>
      <c r="F217" s="33"/>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32"/>
      <c r="C218" s="33"/>
      <c r="D218" s="33"/>
      <c r="E218" s="33"/>
      <c r="F218" s="33"/>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32"/>
      <c r="C219" s="33"/>
      <c r="D219" s="33"/>
      <c r="E219" s="33"/>
      <c r="F219" s="33"/>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32"/>
      <c r="C220" s="33"/>
      <c r="D220" s="33"/>
      <c r="E220" s="33"/>
      <c r="F220" s="33"/>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32"/>
      <c r="C221" s="33"/>
      <c r="D221" s="33"/>
      <c r="E221" s="33"/>
      <c r="F221" s="33"/>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32"/>
      <c r="C222" s="33"/>
      <c r="D222" s="33"/>
      <c r="E222" s="33"/>
      <c r="F222" s="33"/>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32"/>
      <c r="C223" s="33"/>
      <c r="D223" s="33"/>
      <c r="E223" s="33"/>
      <c r="F223" s="33"/>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32"/>
      <c r="C224" s="33"/>
      <c r="D224" s="33"/>
      <c r="E224" s="33"/>
      <c r="F224" s="33"/>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32"/>
      <c r="C225" s="33"/>
      <c r="D225" s="33"/>
      <c r="E225" s="33"/>
      <c r="F225" s="33"/>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32"/>
      <c r="C226" s="33"/>
      <c r="D226" s="33"/>
      <c r="E226" s="33"/>
      <c r="F226" s="33"/>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32"/>
      <c r="C227" s="33"/>
      <c r="D227" s="33"/>
      <c r="E227" s="33"/>
      <c r="F227" s="33"/>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32"/>
      <c r="C228" s="33"/>
      <c r="D228" s="33"/>
      <c r="E228" s="33"/>
      <c r="F228" s="33"/>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32"/>
      <c r="C229" s="33"/>
      <c r="D229" s="33"/>
      <c r="E229" s="33"/>
      <c r="F229" s="33"/>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32"/>
      <c r="C230" s="33"/>
      <c r="D230" s="33"/>
      <c r="E230" s="33"/>
      <c r="F230" s="33"/>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32"/>
      <c r="C231" s="33"/>
      <c r="D231" s="33"/>
      <c r="E231" s="33"/>
      <c r="F231" s="33"/>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32"/>
      <c r="C232" s="33"/>
      <c r="D232" s="33"/>
      <c r="E232" s="33"/>
      <c r="F232" s="33"/>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32"/>
      <c r="C233" s="33"/>
      <c r="D233" s="33"/>
      <c r="E233" s="33"/>
      <c r="F233" s="33"/>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32"/>
      <c r="C234" s="33"/>
      <c r="D234" s="33"/>
      <c r="E234" s="33"/>
      <c r="F234" s="33"/>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32"/>
      <c r="C235" s="33"/>
      <c r="D235" s="33"/>
      <c r="E235" s="33"/>
      <c r="F235" s="33"/>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32"/>
      <c r="C236" s="33"/>
      <c r="D236" s="33"/>
      <c r="E236" s="33"/>
      <c r="F236" s="33"/>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32"/>
      <c r="C237" s="33"/>
      <c r="D237" s="33"/>
      <c r="E237" s="33"/>
      <c r="F237" s="33"/>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32"/>
      <c r="C238" s="33"/>
      <c r="D238" s="33"/>
      <c r="E238" s="33"/>
      <c r="F238" s="33"/>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32"/>
      <c r="C239" s="33"/>
      <c r="D239" s="33"/>
      <c r="E239" s="33"/>
      <c r="F239" s="33"/>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32"/>
      <c r="C240" s="33"/>
      <c r="D240" s="33"/>
      <c r="E240" s="33"/>
      <c r="F240" s="33"/>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32"/>
      <c r="C241" s="33"/>
      <c r="D241" s="33"/>
      <c r="E241" s="33"/>
      <c r="F241" s="33"/>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32"/>
      <c r="C242" s="33"/>
      <c r="D242" s="33"/>
      <c r="E242" s="33"/>
      <c r="F242" s="33"/>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32"/>
      <c r="C243" s="33"/>
      <c r="D243" s="33"/>
      <c r="E243" s="33"/>
      <c r="F243" s="33"/>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32"/>
      <c r="C244" s="33"/>
      <c r="D244" s="33"/>
      <c r="E244" s="33"/>
      <c r="F244" s="33"/>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32"/>
      <c r="C245" s="33"/>
      <c r="D245" s="33"/>
      <c r="E245" s="33"/>
      <c r="F245" s="33"/>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32"/>
      <c r="C246" s="33"/>
      <c r="D246" s="33"/>
      <c r="E246" s="33"/>
      <c r="F246" s="33"/>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32"/>
      <c r="C247" s="33"/>
      <c r="D247" s="33"/>
      <c r="E247" s="33"/>
      <c r="F247" s="33"/>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32"/>
      <c r="C248" s="33"/>
      <c r="D248" s="33"/>
      <c r="E248" s="33"/>
      <c r="F248" s="33"/>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32"/>
      <c r="C249" s="33"/>
      <c r="D249" s="33"/>
      <c r="E249" s="33"/>
      <c r="F249" s="33"/>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32"/>
      <c r="C250" s="33"/>
      <c r="D250" s="33"/>
      <c r="E250" s="33"/>
      <c r="F250" s="33"/>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32"/>
      <c r="C251" s="33"/>
      <c r="D251" s="33"/>
      <c r="E251" s="33"/>
      <c r="F251" s="33"/>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32"/>
      <c r="C252" s="33"/>
      <c r="D252" s="33"/>
      <c r="E252" s="33"/>
      <c r="F252" s="33"/>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32"/>
      <c r="C253" s="33"/>
      <c r="D253" s="33"/>
      <c r="E253" s="33"/>
      <c r="F253" s="33"/>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32"/>
      <c r="C254" s="33"/>
      <c r="D254" s="33"/>
      <c r="E254" s="33"/>
      <c r="F254" s="33"/>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32"/>
      <c r="C255" s="33"/>
      <c r="D255" s="33"/>
      <c r="E255" s="33"/>
      <c r="F255" s="33"/>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32"/>
      <c r="C256" s="33"/>
      <c r="D256" s="33"/>
      <c r="E256" s="33"/>
      <c r="F256" s="33"/>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32"/>
      <c r="C257" s="33"/>
      <c r="D257" s="33"/>
      <c r="E257" s="33"/>
      <c r="F257" s="33"/>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32"/>
      <c r="C258" s="33"/>
      <c r="D258" s="33"/>
      <c r="E258" s="33"/>
      <c r="F258" s="33"/>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32"/>
      <c r="C259" s="33"/>
      <c r="D259" s="33"/>
      <c r="E259" s="33"/>
      <c r="F259" s="33"/>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32"/>
      <c r="C260" s="33"/>
      <c r="D260" s="33"/>
      <c r="E260" s="33"/>
      <c r="F260" s="33"/>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32"/>
      <c r="C261" s="33"/>
      <c r="D261" s="33"/>
      <c r="E261" s="33"/>
      <c r="F261" s="33"/>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32"/>
      <c r="C262" s="33"/>
      <c r="D262" s="33"/>
      <c r="E262" s="33"/>
      <c r="F262" s="33"/>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32"/>
      <c r="C263" s="33"/>
      <c r="D263" s="33"/>
      <c r="E263" s="33"/>
      <c r="F263" s="33"/>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32"/>
      <c r="C264" s="33"/>
      <c r="D264" s="33"/>
      <c r="E264" s="33"/>
      <c r="F264" s="33"/>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32"/>
      <c r="C265" s="33"/>
      <c r="D265" s="33"/>
      <c r="E265" s="33"/>
      <c r="F265" s="33"/>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32"/>
      <c r="C266" s="33"/>
      <c r="D266" s="33"/>
      <c r="E266" s="33"/>
      <c r="F266" s="33"/>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32"/>
      <c r="C267" s="33"/>
      <c r="D267" s="33"/>
      <c r="E267" s="33"/>
      <c r="F267" s="33"/>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32"/>
      <c r="C268" s="33"/>
      <c r="D268" s="33"/>
      <c r="E268" s="33"/>
      <c r="F268" s="33"/>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32"/>
      <c r="C269" s="33"/>
      <c r="D269" s="33"/>
      <c r="E269" s="33"/>
      <c r="F269" s="33"/>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32"/>
      <c r="C270" s="33"/>
      <c r="D270" s="33"/>
      <c r="E270" s="33"/>
      <c r="F270" s="33"/>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32"/>
      <c r="C271" s="33"/>
      <c r="D271" s="33"/>
      <c r="E271" s="33"/>
      <c r="F271" s="33"/>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32"/>
      <c r="C272" s="33"/>
      <c r="D272" s="33"/>
      <c r="E272" s="33"/>
      <c r="F272" s="33"/>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32"/>
      <c r="C273" s="33"/>
      <c r="D273" s="33"/>
      <c r="E273" s="33"/>
      <c r="F273" s="33"/>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32"/>
      <c r="C274" s="33"/>
      <c r="D274" s="33"/>
      <c r="E274" s="33"/>
      <c r="F274" s="33"/>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32"/>
      <c r="C275" s="33"/>
      <c r="D275" s="33"/>
      <c r="E275" s="33"/>
      <c r="F275" s="33"/>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32"/>
      <c r="C276" s="33"/>
      <c r="D276" s="33"/>
      <c r="E276" s="33"/>
      <c r="F276" s="33"/>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32"/>
      <c r="C277" s="33"/>
      <c r="D277" s="33"/>
      <c r="E277" s="33"/>
      <c r="F277" s="33"/>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32"/>
      <c r="C278" s="33"/>
      <c r="D278" s="33"/>
      <c r="E278" s="33"/>
      <c r="F278" s="33"/>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32"/>
      <c r="C279" s="33"/>
      <c r="D279" s="33"/>
      <c r="E279" s="33"/>
      <c r="F279" s="33"/>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32"/>
      <c r="C280" s="33"/>
      <c r="D280" s="33"/>
      <c r="E280" s="33"/>
      <c r="F280" s="33"/>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32"/>
      <c r="C281" s="33"/>
      <c r="D281" s="33"/>
      <c r="E281" s="33"/>
      <c r="F281" s="33"/>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32"/>
      <c r="C282" s="33"/>
      <c r="D282" s="33"/>
      <c r="E282" s="33"/>
      <c r="F282" s="33"/>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32"/>
      <c r="C283" s="33"/>
      <c r="D283" s="33"/>
      <c r="E283" s="33"/>
      <c r="F283" s="33"/>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32"/>
      <c r="C284" s="33"/>
      <c r="D284" s="33"/>
      <c r="E284" s="33"/>
      <c r="F284" s="33"/>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32"/>
      <c r="C285" s="33"/>
      <c r="D285" s="33"/>
      <c r="E285" s="33"/>
      <c r="F285" s="33"/>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32"/>
      <c r="C286" s="33"/>
      <c r="D286" s="33"/>
      <c r="E286" s="33"/>
      <c r="F286" s="33"/>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32"/>
      <c r="C287" s="33"/>
      <c r="D287" s="33"/>
      <c r="E287" s="33"/>
      <c r="F287" s="33"/>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32"/>
      <c r="C288" s="33"/>
      <c r="D288" s="33"/>
      <c r="E288" s="33"/>
      <c r="F288" s="33"/>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32"/>
      <c r="C289" s="33"/>
      <c r="D289" s="33"/>
      <c r="E289" s="33"/>
      <c r="F289" s="33"/>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32"/>
      <c r="C290" s="33"/>
      <c r="D290" s="33"/>
      <c r="E290" s="33"/>
      <c r="F290" s="33"/>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32"/>
      <c r="C291" s="33"/>
      <c r="D291" s="33"/>
      <c r="E291" s="33"/>
      <c r="F291" s="33"/>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32"/>
      <c r="C292" s="33"/>
      <c r="D292" s="33"/>
      <c r="E292" s="33"/>
      <c r="F292" s="33"/>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32"/>
      <c r="C293" s="33"/>
      <c r="D293" s="33"/>
      <c r="E293" s="33"/>
      <c r="F293" s="33"/>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32"/>
      <c r="C294" s="33"/>
      <c r="D294" s="33"/>
      <c r="E294" s="33"/>
      <c r="F294" s="33"/>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32"/>
      <c r="C295" s="33"/>
      <c r="D295" s="33"/>
      <c r="E295" s="33"/>
      <c r="F295" s="33"/>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32"/>
      <c r="C296" s="33"/>
      <c r="D296" s="33"/>
      <c r="E296" s="33"/>
      <c r="F296" s="33"/>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32"/>
      <c r="C297" s="33"/>
      <c r="D297" s="33"/>
      <c r="E297" s="33"/>
      <c r="F297" s="33"/>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32"/>
      <c r="C298" s="33"/>
      <c r="D298" s="33"/>
      <c r="E298" s="33"/>
      <c r="F298" s="33"/>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32"/>
      <c r="C299" s="33"/>
      <c r="D299" s="33"/>
      <c r="E299" s="33"/>
      <c r="F299" s="33"/>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32"/>
      <c r="C300" s="33"/>
      <c r="D300" s="33"/>
      <c r="E300" s="33"/>
      <c r="F300" s="33"/>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32"/>
      <c r="C301" s="33"/>
      <c r="D301" s="33"/>
      <c r="E301" s="33"/>
      <c r="F301" s="33"/>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32"/>
      <c r="C302" s="33"/>
      <c r="D302" s="33"/>
      <c r="E302" s="33"/>
      <c r="F302" s="33"/>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32"/>
      <c r="C303" s="33"/>
      <c r="D303" s="33"/>
      <c r="E303" s="33"/>
      <c r="F303" s="33"/>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32"/>
      <c r="C304" s="33"/>
      <c r="D304" s="33"/>
      <c r="E304" s="33"/>
      <c r="F304" s="33"/>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32"/>
      <c r="C305" s="33"/>
      <c r="D305" s="33"/>
      <c r="E305" s="33"/>
      <c r="F305" s="33"/>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32"/>
      <c r="C306" s="33"/>
      <c r="D306" s="33"/>
      <c r="E306" s="33"/>
      <c r="F306" s="33"/>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32"/>
      <c r="C307" s="33"/>
      <c r="D307" s="33"/>
      <c r="E307" s="33"/>
      <c r="F307" s="33"/>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32"/>
      <c r="C308" s="33"/>
      <c r="D308" s="33"/>
      <c r="E308" s="33"/>
      <c r="F308" s="33"/>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32"/>
      <c r="C309" s="33"/>
      <c r="D309" s="33"/>
      <c r="E309" s="33"/>
      <c r="F309" s="33"/>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32"/>
      <c r="C310" s="33"/>
      <c r="D310" s="33"/>
      <c r="E310" s="33"/>
      <c r="F310" s="33"/>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32"/>
      <c r="C311" s="33"/>
      <c r="D311" s="33"/>
      <c r="E311" s="33"/>
      <c r="F311" s="33"/>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32"/>
      <c r="C312" s="33"/>
      <c r="D312" s="33"/>
      <c r="E312" s="33"/>
      <c r="F312" s="33"/>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32"/>
      <c r="C313" s="33"/>
      <c r="D313" s="33"/>
      <c r="E313" s="33"/>
      <c r="F313" s="33"/>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32"/>
      <c r="C314" s="33"/>
      <c r="D314" s="33"/>
      <c r="E314" s="33"/>
      <c r="F314" s="33"/>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32"/>
      <c r="C315" s="33"/>
      <c r="D315" s="33"/>
      <c r="E315" s="33"/>
      <c r="F315" s="33"/>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32"/>
      <c r="C316" s="33"/>
      <c r="D316" s="33"/>
      <c r="E316" s="33"/>
      <c r="F316" s="33"/>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32"/>
      <c r="C317" s="33"/>
      <c r="D317" s="33"/>
      <c r="E317" s="33"/>
      <c r="F317" s="33"/>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32"/>
      <c r="C318" s="33"/>
      <c r="D318" s="33"/>
      <c r="E318" s="33"/>
      <c r="F318" s="33"/>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32"/>
      <c r="C319" s="33"/>
      <c r="D319" s="33"/>
      <c r="E319" s="33"/>
      <c r="F319" s="33"/>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32"/>
      <c r="C320" s="33"/>
      <c r="D320" s="33"/>
      <c r="E320" s="33"/>
      <c r="F320" s="33"/>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32"/>
      <c r="C321" s="33"/>
      <c r="D321" s="33"/>
      <c r="E321" s="33"/>
      <c r="F321" s="33"/>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32"/>
      <c r="C322" s="33"/>
      <c r="D322" s="33"/>
      <c r="E322" s="33"/>
      <c r="F322" s="33"/>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32"/>
      <c r="C323" s="33"/>
      <c r="D323" s="33"/>
      <c r="E323" s="33"/>
      <c r="F323" s="33"/>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32"/>
      <c r="C324" s="33"/>
      <c r="D324" s="33"/>
      <c r="E324" s="33"/>
      <c r="F324" s="33"/>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32"/>
      <c r="C325" s="33"/>
      <c r="D325" s="33"/>
      <c r="E325" s="33"/>
      <c r="F325" s="33"/>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32"/>
      <c r="C326" s="33"/>
      <c r="D326" s="33"/>
      <c r="E326" s="33"/>
      <c r="F326" s="33"/>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32"/>
      <c r="C327" s="33"/>
      <c r="D327" s="33"/>
      <c r="E327" s="33"/>
      <c r="F327" s="33"/>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32"/>
      <c r="C328" s="33"/>
      <c r="D328" s="33"/>
      <c r="E328" s="33"/>
      <c r="F328" s="33"/>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32"/>
      <c r="C329" s="33"/>
      <c r="D329" s="33"/>
      <c r="E329" s="33"/>
      <c r="F329" s="33"/>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32"/>
      <c r="C330" s="33"/>
      <c r="D330" s="33"/>
      <c r="E330" s="33"/>
      <c r="F330" s="33"/>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32"/>
      <c r="C331" s="33"/>
      <c r="D331" s="33"/>
      <c r="E331" s="33"/>
      <c r="F331" s="33"/>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32"/>
      <c r="C332" s="33"/>
      <c r="D332" s="33"/>
      <c r="E332" s="33"/>
      <c r="F332" s="33"/>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32"/>
      <c r="C333" s="33"/>
      <c r="D333" s="33"/>
      <c r="E333" s="33"/>
      <c r="F333" s="33"/>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32"/>
      <c r="C334" s="33"/>
      <c r="D334" s="33"/>
      <c r="E334" s="33"/>
      <c r="F334" s="33"/>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32"/>
      <c r="C335" s="33"/>
      <c r="D335" s="33"/>
      <c r="E335" s="33"/>
      <c r="F335" s="33"/>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32"/>
      <c r="C336" s="33"/>
      <c r="D336" s="33"/>
      <c r="E336" s="33"/>
      <c r="F336" s="33"/>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32"/>
      <c r="C337" s="33"/>
      <c r="D337" s="33"/>
      <c r="E337" s="33"/>
      <c r="F337" s="33"/>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32"/>
      <c r="C338" s="33"/>
      <c r="D338" s="33"/>
      <c r="E338" s="33"/>
      <c r="F338" s="33"/>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32"/>
      <c r="C339" s="33"/>
      <c r="D339" s="33"/>
      <c r="E339" s="33"/>
      <c r="F339" s="33"/>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32"/>
      <c r="C340" s="33"/>
      <c r="D340" s="33"/>
      <c r="E340" s="33"/>
      <c r="F340" s="33"/>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32"/>
      <c r="C341" s="33"/>
      <c r="D341" s="33"/>
      <c r="E341" s="33"/>
      <c r="F341" s="33"/>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32"/>
      <c r="C342" s="33"/>
      <c r="D342" s="33"/>
      <c r="E342" s="33"/>
      <c r="F342" s="33"/>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32"/>
      <c r="C343" s="33"/>
      <c r="D343" s="33"/>
      <c r="E343" s="33"/>
      <c r="F343" s="33"/>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32"/>
      <c r="C344" s="33"/>
      <c r="D344" s="33"/>
      <c r="E344" s="33"/>
      <c r="F344" s="33"/>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32"/>
      <c r="C345" s="33"/>
      <c r="D345" s="33"/>
      <c r="E345" s="33"/>
      <c r="F345" s="33"/>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32"/>
      <c r="C346" s="33"/>
      <c r="D346" s="33"/>
      <c r="E346" s="33"/>
      <c r="F346" s="33"/>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32"/>
      <c r="C347" s="33"/>
      <c r="D347" s="33"/>
      <c r="E347" s="33"/>
      <c r="F347" s="33"/>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32"/>
      <c r="C348" s="33"/>
      <c r="D348" s="33"/>
      <c r="E348" s="33"/>
      <c r="F348" s="33"/>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32"/>
      <c r="C349" s="33"/>
      <c r="D349" s="33"/>
      <c r="E349" s="33"/>
      <c r="F349" s="33"/>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32"/>
      <c r="C350" s="33"/>
      <c r="D350" s="33"/>
      <c r="E350" s="33"/>
      <c r="F350" s="33"/>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32"/>
      <c r="C351" s="33"/>
      <c r="D351" s="33"/>
      <c r="E351" s="33"/>
      <c r="F351" s="33"/>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32"/>
      <c r="C352" s="33"/>
      <c r="D352" s="33"/>
      <c r="E352" s="33"/>
      <c r="F352" s="33"/>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32"/>
      <c r="C353" s="33"/>
      <c r="D353" s="33"/>
      <c r="E353" s="33"/>
      <c r="F353" s="33"/>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32"/>
      <c r="C354" s="33"/>
      <c r="D354" s="33"/>
      <c r="E354" s="33"/>
      <c r="F354" s="33"/>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32"/>
      <c r="C355" s="33"/>
      <c r="D355" s="33"/>
      <c r="E355" s="33"/>
      <c r="F355" s="33"/>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32"/>
      <c r="C356" s="33"/>
      <c r="D356" s="33"/>
      <c r="E356" s="33"/>
      <c r="F356" s="33"/>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32"/>
      <c r="C357" s="33"/>
      <c r="D357" s="33"/>
      <c r="E357" s="33"/>
      <c r="F357" s="33"/>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32"/>
      <c r="C358" s="33"/>
      <c r="D358" s="33"/>
      <c r="E358" s="33"/>
      <c r="F358" s="33"/>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32"/>
      <c r="C359" s="33"/>
      <c r="D359" s="33"/>
      <c r="E359" s="33"/>
      <c r="F359" s="33"/>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32"/>
      <c r="C360" s="33"/>
      <c r="D360" s="33"/>
      <c r="E360" s="33"/>
      <c r="F360" s="33"/>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32"/>
      <c r="C361" s="33"/>
      <c r="D361" s="33"/>
      <c r="E361" s="33"/>
      <c r="F361" s="33"/>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32"/>
      <c r="C362" s="33"/>
      <c r="D362" s="33"/>
      <c r="E362" s="33"/>
      <c r="F362" s="33"/>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32"/>
      <c r="C363" s="33"/>
      <c r="D363" s="33"/>
      <c r="E363" s="33"/>
      <c r="F363" s="33"/>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32"/>
      <c r="C364" s="33"/>
      <c r="D364" s="33"/>
      <c r="E364" s="33"/>
      <c r="F364" s="33"/>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32"/>
      <c r="C365" s="33"/>
      <c r="D365" s="33"/>
      <c r="E365" s="33"/>
      <c r="F365" s="33"/>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32"/>
      <c r="C366" s="33"/>
      <c r="D366" s="33"/>
      <c r="E366" s="33"/>
      <c r="F366" s="33"/>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32"/>
      <c r="C367" s="33"/>
      <c r="D367" s="33"/>
      <c r="E367" s="33"/>
      <c r="F367" s="33"/>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32"/>
      <c r="C368" s="33"/>
      <c r="D368" s="33"/>
      <c r="E368" s="33"/>
      <c r="F368" s="33"/>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32"/>
      <c r="C369" s="33"/>
      <c r="D369" s="33"/>
      <c r="E369" s="33"/>
      <c r="F369" s="33"/>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32"/>
      <c r="C370" s="33"/>
      <c r="D370" s="33"/>
      <c r="E370" s="33"/>
      <c r="F370" s="33"/>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32"/>
      <c r="C371" s="33"/>
      <c r="D371" s="33"/>
      <c r="E371" s="33"/>
      <c r="F371" s="33"/>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32"/>
      <c r="C372" s="33"/>
      <c r="D372" s="33"/>
      <c r="E372" s="33"/>
      <c r="F372" s="33"/>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32"/>
      <c r="C373" s="33"/>
      <c r="D373" s="33"/>
      <c r="E373" s="33"/>
      <c r="F373" s="33"/>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32"/>
      <c r="C374" s="33"/>
      <c r="D374" s="33"/>
      <c r="E374" s="33"/>
      <c r="F374" s="33"/>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32"/>
      <c r="C375" s="33"/>
      <c r="D375" s="33"/>
      <c r="E375" s="33"/>
      <c r="F375" s="33"/>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32"/>
      <c r="C376" s="33"/>
      <c r="D376" s="33"/>
      <c r="E376" s="33"/>
      <c r="F376" s="33"/>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32"/>
      <c r="C377" s="33"/>
      <c r="D377" s="33"/>
      <c r="E377" s="33"/>
      <c r="F377" s="33"/>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32"/>
      <c r="C378" s="33"/>
      <c r="D378" s="33"/>
      <c r="E378" s="33"/>
      <c r="F378" s="33"/>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32"/>
      <c r="C379" s="33"/>
      <c r="D379" s="33"/>
      <c r="E379" s="33"/>
      <c r="F379" s="33"/>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32"/>
      <c r="C380" s="33"/>
      <c r="D380" s="33"/>
      <c r="E380" s="33"/>
      <c r="F380" s="33"/>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32"/>
      <c r="C381" s="33"/>
      <c r="D381" s="33"/>
      <c r="E381" s="33"/>
      <c r="F381" s="33"/>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32"/>
      <c r="C382" s="33"/>
      <c r="D382" s="33"/>
      <c r="E382" s="33"/>
      <c r="F382" s="33"/>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32"/>
      <c r="C383" s="33"/>
      <c r="D383" s="33"/>
      <c r="E383" s="33"/>
      <c r="F383" s="33"/>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32"/>
      <c r="C384" s="33"/>
      <c r="D384" s="33"/>
      <c r="E384" s="33"/>
      <c r="F384" s="33"/>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32"/>
      <c r="C385" s="33"/>
      <c r="D385" s="33"/>
      <c r="E385" s="33"/>
      <c r="F385" s="33"/>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32"/>
      <c r="C386" s="33"/>
      <c r="D386" s="33"/>
      <c r="E386" s="33"/>
      <c r="F386" s="33"/>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32"/>
      <c r="C387" s="33"/>
      <c r="D387" s="33"/>
      <c r="E387" s="33"/>
      <c r="F387" s="33"/>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32"/>
      <c r="C388" s="33"/>
      <c r="D388" s="33"/>
      <c r="E388" s="33"/>
      <c r="F388" s="33"/>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32"/>
      <c r="C389" s="33"/>
      <c r="D389" s="33"/>
      <c r="E389" s="33"/>
      <c r="F389" s="33"/>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32"/>
      <c r="C390" s="33"/>
      <c r="D390" s="33"/>
      <c r="E390" s="33"/>
      <c r="F390" s="33"/>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32"/>
      <c r="C391" s="33"/>
      <c r="D391" s="33"/>
      <c r="E391" s="33"/>
      <c r="F391" s="33"/>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32"/>
      <c r="C392" s="33"/>
      <c r="D392" s="33"/>
      <c r="E392" s="33"/>
      <c r="F392" s="33"/>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32"/>
      <c r="C393" s="33"/>
      <c r="D393" s="33"/>
      <c r="E393" s="33"/>
      <c r="F393" s="33"/>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32"/>
      <c r="C394" s="33"/>
      <c r="D394" s="33"/>
      <c r="E394" s="33"/>
      <c r="F394" s="33"/>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32"/>
      <c r="C395" s="33"/>
      <c r="D395" s="33"/>
      <c r="E395" s="33"/>
      <c r="F395" s="33"/>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32"/>
      <c r="C396" s="33"/>
      <c r="D396" s="33"/>
      <c r="E396" s="33"/>
      <c r="F396" s="33"/>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32"/>
      <c r="C397" s="33"/>
      <c r="D397" s="33"/>
      <c r="E397" s="33"/>
      <c r="F397" s="33"/>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32"/>
      <c r="C398" s="33"/>
      <c r="D398" s="33"/>
      <c r="E398" s="33"/>
      <c r="F398" s="33"/>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32"/>
      <c r="C399" s="33"/>
      <c r="D399" s="33"/>
      <c r="E399" s="33"/>
      <c r="F399" s="33"/>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32"/>
      <c r="C400" s="33"/>
      <c r="D400" s="33"/>
      <c r="E400" s="33"/>
      <c r="F400" s="33"/>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32"/>
      <c r="C401" s="33"/>
      <c r="D401" s="33"/>
      <c r="E401" s="33"/>
      <c r="F401" s="33"/>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32"/>
      <c r="C402" s="33"/>
      <c r="D402" s="33"/>
      <c r="E402" s="33"/>
      <c r="F402" s="33"/>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32"/>
      <c r="C403" s="33"/>
      <c r="D403" s="33"/>
      <c r="E403" s="33"/>
      <c r="F403" s="33"/>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32"/>
      <c r="C404" s="33"/>
      <c r="D404" s="33"/>
      <c r="E404" s="33"/>
      <c r="F404" s="33"/>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32"/>
      <c r="C405" s="33"/>
      <c r="D405" s="33"/>
      <c r="E405" s="33"/>
      <c r="F405" s="33"/>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32"/>
      <c r="C406" s="33"/>
      <c r="D406" s="33"/>
      <c r="E406" s="33"/>
      <c r="F406" s="33"/>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32"/>
      <c r="C407" s="33"/>
      <c r="D407" s="33"/>
      <c r="E407" s="33"/>
      <c r="F407" s="33"/>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32"/>
      <c r="C408" s="33"/>
      <c r="D408" s="33"/>
      <c r="E408" s="33"/>
      <c r="F408" s="33"/>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32"/>
      <c r="C409" s="33"/>
      <c r="D409" s="33"/>
      <c r="E409" s="33"/>
      <c r="F409" s="33"/>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32"/>
      <c r="C410" s="33"/>
      <c r="D410" s="33"/>
      <c r="E410" s="33"/>
      <c r="F410" s="33"/>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32"/>
      <c r="C411" s="33"/>
      <c r="D411" s="33"/>
      <c r="E411" s="33"/>
      <c r="F411" s="33"/>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32"/>
      <c r="C412" s="33"/>
      <c r="D412" s="33"/>
      <c r="E412" s="33"/>
      <c r="F412" s="33"/>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32"/>
      <c r="C413" s="33"/>
      <c r="D413" s="33"/>
      <c r="E413" s="33"/>
      <c r="F413" s="33"/>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32"/>
      <c r="C414" s="33"/>
      <c r="D414" s="33"/>
      <c r="E414" s="33"/>
      <c r="F414" s="33"/>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32"/>
      <c r="C415" s="33"/>
      <c r="D415" s="33"/>
      <c r="E415" s="33"/>
      <c r="F415" s="33"/>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32"/>
      <c r="C416" s="33"/>
      <c r="D416" s="33"/>
      <c r="E416" s="33"/>
      <c r="F416" s="33"/>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32"/>
      <c r="C417" s="33"/>
      <c r="D417" s="33"/>
      <c r="E417" s="33"/>
      <c r="F417" s="33"/>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32"/>
      <c r="C418" s="33"/>
      <c r="D418" s="33"/>
      <c r="E418" s="33"/>
      <c r="F418" s="33"/>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32"/>
      <c r="C419" s="33"/>
      <c r="D419" s="33"/>
      <c r="E419" s="33"/>
      <c r="F419" s="33"/>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32"/>
      <c r="C420" s="33"/>
      <c r="D420" s="33"/>
      <c r="E420" s="33"/>
      <c r="F420" s="33"/>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32"/>
      <c r="C421" s="33"/>
      <c r="D421" s="33"/>
      <c r="E421" s="33"/>
      <c r="F421" s="33"/>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32"/>
      <c r="C422" s="33"/>
      <c r="D422" s="33"/>
      <c r="E422" s="33"/>
      <c r="F422" s="33"/>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32"/>
      <c r="C423" s="33"/>
      <c r="D423" s="33"/>
      <c r="E423" s="33"/>
      <c r="F423" s="33"/>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32"/>
      <c r="C424" s="33"/>
      <c r="D424" s="33"/>
      <c r="E424" s="33"/>
      <c r="F424" s="33"/>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32"/>
      <c r="C425" s="33"/>
      <c r="D425" s="33"/>
      <c r="E425" s="33"/>
      <c r="F425" s="33"/>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32"/>
      <c r="C426" s="33"/>
      <c r="D426" s="33"/>
      <c r="E426" s="33"/>
      <c r="F426" s="33"/>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32"/>
      <c r="C427" s="33"/>
      <c r="D427" s="33"/>
      <c r="E427" s="33"/>
      <c r="F427" s="33"/>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32"/>
      <c r="C428" s="33"/>
      <c r="D428" s="33"/>
      <c r="E428" s="33"/>
      <c r="F428" s="33"/>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32"/>
      <c r="C429" s="33"/>
      <c r="D429" s="33"/>
      <c r="E429" s="33"/>
      <c r="F429" s="33"/>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32"/>
      <c r="C430" s="33"/>
      <c r="D430" s="33"/>
      <c r="E430" s="33"/>
      <c r="F430" s="33"/>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32"/>
      <c r="C431" s="33"/>
      <c r="D431" s="33"/>
      <c r="E431" s="33"/>
      <c r="F431" s="33"/>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32"/>
      <c r="C432" s="33"/>
      <c r="D432" s="33"/>
      <c r="E432" s="33"/>
      <c r="F432" s="33"/>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32"/>
      <c r="C433" s="33"/>
      <c r="D433" s="33"/>
      <c r="E433" s="33"/>
      <c r="F433" s="33"/>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32"/>
      <c r="C434" s="33"/>
      <c r="D434" s="33"/>
      <c r="E434" s="33"/>
      <c r="F434" s="33"/>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32"/>
      <c r="C435" s="33"/>
      <c r="D435" s="33"/>
      <c r="E435" s="33"/>
      <c r="F435" s="33"/>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32"/>
      <c r="C436" s="33"/>
      <c r="D436" s="33"/>
      <c r="E436" s="33"/>
      <c r="F436" s="33"/>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32"/>
      <c r="C437" s="33"/>
      <c r="D437" s="33"/>
      <c r="E437" s="33"/>
      <c r="F437" s="33"/>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32"/>
      <c r="C438" s="33"/>
      <c r="D438" s="33"/>
      <c r="E438" s="33"/>
      <c r="F438" s="33"/>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32"/>
      <c r="C439" s="33"/>
      <c r="D439" s="33"/>
      <c r="E439" s="33"/>
      <c r="F439" s="33"/>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32"/>
      <c r="C440" s="33"/>
      <c r="D440" s="33"/>
      <c r="E440" s="33"/>
      <c r="F440" s="33"/>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32"/>
      <c r="C441" s="33"/>
      <c r="D441" s="33"/>
      <c r="E441" s="33"/>
      <c r="F441" s="33"/>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32"/>
      <c r="C442" s="33"/>
      <c r="D442" s="33"/>
      <c r="E442" s="33"/>
      <c r="F442" s="33"/>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32"/>
      <c r="C443" s="33"/>
      <c r="D443" s="33"/>
      <c r="E443" s="33"/>
      <c r="F443" s="33"/>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32"/>
      <c r="C444" s="33"/>
      <c r="D444" s="33"/>
      <c r="E444" s="33"/>
      <c r="F444" s="33"/>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32"/>
      <c r="C445" s="33"/>
      <c r="D445" s="33"/>
      <c r="E445" s="33"/>
      <c r="F445" s="33"/>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32"/>
      <c r="C446" s="33"/>
      <c r="D446" s="33"/>
      <c r="E446" s="33"/>
      <c r="F446" s="33"/>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32"/>
      <c r="C447" s="33"/>
      <c r="D447" s="33"/>
      <c r="E447" s="33"/>
      <c r="F447" s="33"/>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32"/>
      <c r="C448" s="33"/>
      <c r="D448" s="33"/>
      <c r="E448" s="33"/>
      <c r="F448" s="33"/>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32"/>
      <c r="C449" s="33"/>
      <c r="D449" s="33"/>
      <c r="E449" s="33"/>
      <c r="F449" s="33"/>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32"/>
      <c r="C450" s="33"/>
      <c r="D450" s="33"/>
      <c r="E450" s="33"/>
      <c r="F450" s="33"/>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32"/>
      <c r="C451" s="33"/>
      <c r="D451" s="33"/>
      <c r="E451" s="33"/>
      <c r="F451" s="33"/>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32"/>
      <c r="C452" s="33"/>
      <c r="D452" s="33"/>
      <c r="E452" s="33"/>
      <c r="F452" s="33"/>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32"/>
      <c r="C453" s="33"/>
      <c r="D453" s="33"/>
      <c r="E453" s="33"/>
      <c r="F453" s="33"/>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32"/>
      <c r="C454" s="33"/>
      <c r="D454" s="33"/>
      <c r="E454" s="33"/>
      <c r="F454" s="33"/>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32"/>
      <c r="C455" s="33"/>
      <c r="D455" s="33"/>
      <c r="E455" s="33"/>
      <c r="F455" s="33"/>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32"/>
      <c r="C456" s="33"/>
      <c r="D456" s="33"/>
      <c r="E456" s="33"/>
      <c r="F456" s="33"/>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32"/>
      <c r="C457" s="33"/>
      <c r="D457" s="33"/>
      <c r="E457" s="33"/>
      <c r="F457" s="33"/>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32"/>
      <c r="C458" s="33"/>
      <c r="D458" s="33"/>
      <c r="E458" s="33"/>
      <c r="F458" s="33"/>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32"/>
      <c r="C459" s="33"/>
      <c r="D459" s="33"/>
      <c r="E459" s="33"/>
      <c r="F459" s="33"/>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32"/>
      <c r="C460" s="33"/>
      <c r="D460" s="33"/>
      <c r="E460" s="33"/>
      <c r="F460" s="33"/>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32"/>
      <c r="C461" s="33"/>
      <c r="D461" s="33"/>
      <c r="E461" s="33"/>
      <c r="F461" s="33"/>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32"/>
      <c r="C462" s="33"/>
      <c r="D462" s="33"/>
      <c r="E462" s="33"/>
      <c r="F462" s="33"/>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32"/>
      <c r="C463" s="33"/>
      <c r="D463" s="33"/>
      <c r="E463" s="33"/>
      <c r="F463" s="33"/>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32"/>
      <c r="C464" s="33"/>
      <c r="D464" s="33"/>
      <c r="E464" s="33"/>
      <c r="F464" s="33"/>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32"/>
      <c r="C465" s="33"/>
      <c r="D465" s="33"/>
      <c r="E465" s="33"/>
      <c r="F465" s="33"/>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32"/>
      <c r="C466" s="33"/>
      <c r="D466" s="33"/>
      <c r="E466" s="33"/>
      <c r="F466" s="33"/>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32"/>
      <c r="C467" s="33"/>
      <c r="D467" s="33"/>
      <c r="E467" s="33"/>
      <c r="F467" s="33"/>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32"/>
      <c r="C468" s="33"/>
      <c r="D468" s="33"/>
      <c r="E468" s="33"/>
      <c r="F468" s="33"/>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32"/>
      <c r="C469" s="33"/>
      <c r="D469" s="33"/>
      <c r="E469" s="33"/>
      <c r="F469" s="33"/>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32"/>
      <c r="C470" s="33"/>
      <c r="D470" s="33"/>
      <c r="E470" s="33"/>
      <c r="F470" s="33"/>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32"/>
      <c r="C471" s="33"/>
      <c r="D471" s="33"/>
      <c r="E471" s="33"/>
      <c r="F471" s="33"/>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32"/>
      <c r="C472" s="33"/>
      <c r="D472" s="33"/>
      <c r="E472" s="33"/>
      <c r="F472" s="33"/>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32"/>
      <c r="C473" s="33"/>
      <c r="D473" s="33"/>
      <c r="E473" s="33"/>
      <c r="F473" s="33"/>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32"/>
      <c r="C474" s="33"/>
      <c r="D474" s="33"/>
      <c r="E474" s="33"/>
      <c r="F474" s="33"/>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32"/>
      <c r="C475" s="33"/>
      <c r="D475" s="33"/>
      <c r="E475" s="33"/>
      <c r="F475" s="33"/>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32"/>
      <c r="C476" s="33"/>
      <c r="D476" s="33"/>
      <c r="E476" s="33"/>
      <c r="F476" s="33"/>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32"/>
      <c r="C477" s="33"/>
      <c r="D477" s="33"/>
      <c r="E477" s="33"/>
      <c r="F477" s="33"/>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32"/>
      <c r="C478" s="33"/>
      <c r="D478" s="33"/>
      <c r="E478" s="33"/>
      <c r="F478" s="33"/>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32"/>
      <c r="C479" s="33"/>
      <c r="D479" s="33"/>
      <c r="E479" s="33"/>
      <c r="F479" s="33"/>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32"/>
      <c r="C480" s="33"/>
      <c r="D480" s="33"/>
      <c r="E480" s="33"/>
      <c r="F480" s="33"/>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32"/>
      <c r="C481" s="33"/>
      <c r="D481" s="33"/>
      <c r="E481" s="33"/>
      <c r="F481" s="33"/>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32"/>
      <c r="C482" s="33"/>
      <c r="D482" s="33"/>
      <c r="E482" s="33"/>
      <c r="F482" s="33"/>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32"/>
      <c r="C483" s="33"/>
      <c r="D483" s="33"/>
      <c r="E483" s="33"/>
      <c r="F483" s="33"/>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32"/>
      <c r="C484" s="33"/>
      <c r="D484" s="33"/>
      <c r="E484" s="33"/>
      <c r="F484" s="33"/>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32"/>
      <c r="C485" s="33"/>
      <c r="D485" s="33"/>
      <c r="E485" s="33"/>
      <c r="F485" s="33"/>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32"/>
      <c r="C486" s="33"/>
      <c r="D486" s="33"/>
      <c r="E486" s="33"/>
      <c r="F486" s="33"/>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32"/>
      <c r="C487" s="33"/>
      <c r="D487" s="33"/>
      <c r="E487" s="33"/>
      <c r="F487" s="33"/>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32"/>
      <c r="C488" s="33"/>
      <c r="D488" s="33"/>
      <c r="E488" s="33"/>
      <c r="F488" s="33"/>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32"/>
      <c r="C489" s="33"/>
      <c r="D489" s="33"/>
      <c r="E489" s="33"/>
      <c r="F489" s="33"/>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32"/>
      <c r="C490" s="33"/>
      <c r="D490" s="33"/>
      <c r="E490" s="33"/>
      <c r="F490" s="33"/>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32"/>
      <c r="C491" s="33"/>
      <c r="D491" s="33"/>
      <c r="E491" s="33"/>
      <c r="F491" s="33"/>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32"/>
      <c r="C492" s="33"/>
      <c r="D492" s="33"/>
      <c r="E492" s="33"/>
      <c r="F492" s="33"/>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32"/>
      <c r="C493" s="33"/>
      <c r="D493" s="33"/>
      <c r="E493" s="33"/>
      <c r="F493" s="33"/>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32"/>
      <c r="C494" s="33"/>
      <c r="D494" s="33"/>
      <c r="E494" s="33"/>
      <c r="F494" s="33"/>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32"/>
      <c r="C495" s="33"/>
      <c r="D495" s="33"/>
      <c r="E495" s="33"/>
      <c r="F495" s="33"/>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32"/>
      <c r="C496" s="33"/>
      <c r="D496" s="33"/>
      <c r="E496" s="33"/>
      <c r="F496" s="33"/>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32"/>
      <c r="C497" s="33"/>
      <c r="D497" s="33"/>
      <c r="E497" s="33"/>
      <c r="F497" s="33"/>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32"/>
      <c r="C498" s="33"/>
      <c r="D498" s="33"/>
      <c r="E498" s="33"/>
      <c r="F498" s="33"/>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32"/>
      <c r="C499" s="33"/>
      <c r="D499" s="33"/>
      <c r="E499" s="33"/>
      <c r="F499" s="33"/>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32"/>
      <c r="C500" s="33"/>
      <c r="D500" s="33"/>
      <c r="E500" s="33"/>
      <c r="F500" s="33"/>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32"/>
      <c r="C501" s="33"/>
      <c r="D501" s="33"/>
      <c r="E501" s="33"/>
      <c r="F501" s="33"/>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32"/>
      <c r="C502" s="33"/>
      <c r="D502" s="33"/>
      <c r="E502" s="33"/>
      <c r="F502" s="33"/>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32"/>
      <c r="C503" s="33"/>
      <c r="D503" s="33"/>
      <c r="E503" s="33"/>
      <c r="F503" s="33"/>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32"/>
      <c r="C504" s="33"/>
      <c r="D504" s="33"/>
      <c r="E504" s="33"/>
      <c r="F504" s="33"/>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32"/>
      <c r="C505" s="33"/>
      <c r="D505" s="33"/>
      <c r="E505" s="33"/>
      <c r="F505" s="33"/>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32"/>
      <c r="C506" s="33"/>
      <c r="D506" s="33"/>
      <c r="E506" s="33"/>
      <c r="F506" s="33"/>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32"/>
      <c r="C507" s="33"/>
      <c r="D507" s="33"/>
      <c r="E507" s="33"/>
      <c r="F507" s="33"/>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32"/>
      <c r="C508" s="33"/>
      <c r="D508" s="33"/>
      <c r="E508" s="33"/>
      <c r="F508" s="33"/>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32"/>
      <c r="C509" s="33"/>
      <c r="D509" s="33"/>
      <c r="E509" s="33"/>
      <c r="F509" s="33"/>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32"/>
      <c r="C510" s="33"/>
      <c r="D510" s="33"/>
      <c r="E510" s="33"/>
      <c r="F510" s="33"/>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32"/>
      <c r="C511" s="33"/>
      <c r="D511" s="33"/>
      <c r="E511" s="33"/>
      <c r="F511" s="33"/>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32"/>
      <c r="C512" s="33"/>
      <c r="D512" s="33"/>
      <c r="E512" s="33"/>
      <c r="F512" s="33"/>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32"/>
      <c r="C513" s="33"/>
      <c r="D513" s="33"/>
      <c r="E513" s="33"/>
      <c r="F513" s="33"/>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32"/>
      <c r="C514" s="33"/>
      <c r="D514" s="33"/>
      <c r="E514" s="33"/>
      <c r="F514" s="33"/>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32"/>
      <c r="C515" s="33"/>
      <c r="D515" s="33"/>
      <c r="E515" s="33"/>
      <c r="F515" s="33"/>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32"/>
      <c r="C516" s="33"/>
      <c r="D516" s="33"/>
      <c r="E516" s="33"/>
      <c r="F516" s="33"/>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32"/>
      <c r="C517" s="33"/>
      <c r="D517" s="33"/>
      <c r="E517" s="33"/>
      <c r="F517" s="33"/>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32"/>
      <c r="C518" s="33"/>
      <c r="D518" s="33"/>
      <c r="E518" s="33"/>
      <c r="F518" s="33"/>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32"/>
      <c r="C519" s="33"/>
      <c r="D519" s="33"/>
      <c r="E519" s="33"/>
      <c r="F519" s="33"/>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32"/>
      <c r="C520" s="33"/>
      <c r="D520" s="33"/>
      <c r="E520" s="33"/>
      <c r="F520" s="33"/>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32"/>
      <c r="C521" s="33"/>
      <c r="D521" s="33"/>
      <c r="E521" s="33"/>
      <c r="F521" s="33"/>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32"/>
      <c r="C522" s="33"/>
      <c r="D522" s="33"/>
      <c r="E522" s="33"/>
      <c r="F522" s="33"/>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32"/>
      <c r="C523" s="33"/>
      <c r="D523" s="33"/>
      <c r="E523" s="33"/>
      <c r="F523" s="33"/>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32"/>
      <c r="C524" s="33"/>
      <c r="D524" s="33"/>
      <c r="E524" s="33"/>
      <c r="F524" s="33"/>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32"/>
      <c r="C525" s="33"/>
      <c r="D525" s="33"/>
      <c r="E525" s="33"/>
      <c r="F525" s="33"/>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32"/>
      <c r="C526" s="33"/>
      <c r="D526" s="33"/>
      <c r="E526" s="33"/>
      <c r="F526" s="33"/>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32"/>
      <c r="C527" s="33"/>
      <c r="D527" s="33"/>
      <c r="E527" s="33"/>
      <c r="F527" s="33"/>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32"/>
      <c r="C528" s="33"/>
      <c r="D528" s="33"/>
      <c r="E528" s="33"/>
      <c r="F528" s="33"/>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32"/>
      <c r="C529" s="33"/>
      <c r="D529" s="33"/>
      <c r="E529" s="33"/>
      <c r="F529" s="33"/>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32"/>
      <c r="C530" s="33"/>
      <c r="D530" s="33"/>
      <c r="E530" s="33"/>
      <c r="F530" s="33"/>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32"/>
      <c r="C531" s="33"/>
      <c r="D531" s="33"/>
      <c r="E531" s="33"/>
      <c r="F531" s="33"/>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32"/>
      <c r="C532" s="33"/>
      <c r="D532" s="33"/>
      <c r="E532" s="33"/>
      <c r="F532" s="33"/>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32"/>
      <c r="C533" s="33"/>
      <c r="D533" s="33"/>
      <c r="E533" s="33"/>
      <c r="F533" s="33"/>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32"/>
      <c r="C534" s="33"/>
      <c r="D534" s="33"/>
      <c r="E534" s="33"/>
      <c r="F534" s="33"/>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32"/>
      <c r="C535" s="33"/>
      <c r="D535" s="33"/>
      <c r="E535" s="33"/>
      <c r="F535" s="33"/>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32"/>
      <c r="C536" s="33"/>
      <c r="D536" s="33"/>
      <c r="E536" s="33"/>
      <c r="F536" s="33"/>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32"/>
      <c r="C537" s="33"/>
      <c r="D537" s="33"/>
      <c r="E537" s="33"/>
      <c r="F537" s="33"/>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32"/>
      <c r="C538" s="33"/>
      <c r="D538" s="33"/>
      <c r="E538" s="33"/>
      <c r="F538" s="33"/>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32"/>
      <c r="C539" s="33"/>
      <c r="D539" s="33"/>
      <c r="E539" s="33"/>
      <c r="F539" s="33"/>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32"/>
      <c r="C540" s="33"/>
      <c r="D540" s="33"/>
      <c r="E540" s="33"/>
      <c r="F540" s="33"/>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32"/>
      <c r="C541" s="33"/>
      <c r="D541" s="33"/>
      <c r="E541" s="33"/>
      <c r="F541" s="33"/>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32"/>
      <c r="C542" s="33"/>
      <c r="D542" s="33"/>
      <c r="E542" s="33"/>
      <c r="F542" s="33"/>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32"/>
      <c r="C543" s="33"/>
      <c r="D543" s="33"/>
      <c r="E543" s="33"/>
      <c r="F543" s="33"/>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32"/>
      <c r="C544" s="33"/>
      <c r="D544" s="33"/>
      <c r="E544" s="33"/>
      <c r="F544" s="33"/>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32"/>
      <c r="C545" s="33"/>
      <c r="D545" s="33"/>
      <c r="E545" s="33"/>
      <c r="F545" s="33"/>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32"/>
      <c r="C546" s="33"/>
      <c r="D546" s="33"/>
      <c r="E546" s="33"/>
      <c r="F546" s="33"/>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32"/>
      <c r="C547" s="33"/>
      <c r="D547" s="33"/>
      <c r="E547" s="33"/>
      <c r="F547" s="33"/>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32"/>
      <c r="C548" s="33"/>
      <c r="D548" s="33"/>
      <c r="E548" s="33"/>
      <c r="F548" s="33"/>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32"/>
      <c r="C549" s="33"/>
      <c r="D549" s="33"/>
      <c r="E549" s="33"/>
      <c r="F549" s="33"/>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32"/>
      <c r="C550" s="33"/>
      <c r="D550" s="33"/>
      <c r="E550" s="33"/>
      <c r="F550" s="33"/>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32"/>
      <c r="C551" s="33"/>
      <c r="D551" s="33"/>
      <c r="E551" s="33"/>
      <c r="F551" s="33"/>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32"/>
      <c r="C552" s="33"/>
      <c r="D552" s="33"/>
      <c r="E552" s="33"/>
      <c r="F552" s="33"/>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32"/>
      <c r="C553" s="33"/>
      <c r="D553" s="33"/>
      <c r="E553" s="33"/>
      <c r="F553" s="33"/>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32"/>
      <c r="C554" s="33"/>
      <c r="D554" s="33"/>
      <c r="E554" s="33"/>
      <c r="F554" s="33"/>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32"/>
      <c r="C555" s="33"/>
      <c r="D555" s="33"/>
      <c r="E555" s="33"/>
      <c r="F555" s="33"/>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32"/>
      <c r="C556" s="33"/>
      <c r="D556" s="33"/>
      <c r="E556" s="33"/>
      <c r="F556" s="33"/>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32"/>
      <c r="C557" s="33"/>
      <c r="D557" s="33"/>
      <c r="E557" s="33"/>
      <c r="F557" s="33"/>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32"/>
      <c r="C558" s="33"/>
      <c r="D558" s="33"/>
      <c r="E558" s="33"/>
      <c r="F558" s="33"/>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32"/>
      <c r="C559" s="33"/>
      <c r="D559" s="33"/>
      <c r="E559" s="33"/>
      <c r="F559" s="33"/>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32"/>
      <c r="C560" s="33"/>
      <c r="D560" s="33"/>
      <c r="E560" s="33"/>
      <c r="F560" s="33"/>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32"/>
      <c r="C561" s="33"/>
      <c r="D561" s="33"/>
      <c r="E561" s="33"/>
      <c r="F561" s="33"/>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32"/>
      <c r="C562" s="33"/>
      <c r="D562" s="33"/>
      <c r="E562" s="33"/>
      <c r="F562" s="33"/>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32"/>
      <c r="C563" s="33"/>
      <c r="D563" s="33"/>
      <c r="E563" s="33"/>
      <c r="F563" s="33"/>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32"/>
      <c r="C564" s="33"/>
      <c r="D564" s="33"/>
      <c r="E564" s="33"/>
      <c r="F564" s="33"/>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32"/>
      <c r="C565" s="33"/>
      <c r="D565" s="33"/>
      <c r="E565" s="33"/>
      <c r="F565" s="33"/>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32"/>
      <c r="C566" s="33"/>
      <c r="D566" s="33"/>
      <c r="E566" s="33"/>
      <c r="F566" s="33"/>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32"/>
      <c r="C567" s="33"/>
      <c r="D567" s="33"/>
      <c r="E567" s="33"/>
      <c r="F567" s="33"/>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32"/>
      <c r="C568" s="33"/>
      <c r="D568" s="33"/>
      <c r="E568" s="33"/>
      <c r="F568" s="33"/>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32"/>
      <c r="C569" s="33"/>
      <c r="D569" s="33"/>
      <c r="E569" s="33"/>
      <c r="F569" s="33"/>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32"/>
      <c r="C570" s="33"/>
      <c r="D570" s="33"/>
      <c r="E570" s="33"/>
      <c r="F570" s="33"/>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32"/>
      <c r="C571" s="33"/>
      <c r="D571" s="33"/>
      <c r="E571" s="33"/>
      <c r="F571" s="33"/>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32"/>
      <c r="C572" s="33"/>
      <c r="D572" s="33"/>
      <c r="E572" s="33"/>
      <c r="F572" s="33"/>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32"/>
      <c r="C573" s="33"/>
      <c r="D573" s="33"/>
      <c r="E573" s="33"/>
      <c r="F573" s="33"/>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32"/>
      <c r="C574" s="33"/>
      <c r="D574" s="33"/>
      <c r="E574" s="33"/>
      <c r="F574" s="33"/>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32"/>
      <c r="C575" s="33"/>
      <c r="D575" s="33"/>
      <c r="E575" s="33"/>
      <c r="F575" s="33"/>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32"/>
      <c r="C576" s="33"/>
      <c r="D576" s="33"/>
      <c r="E576" s="33"/>
      <c r="F576" s="33"/>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32"/>
      <c r="C577" s="33"/>
      <c r="D577" s="33"/>
      <c r="E577" s="33"/>
      <c r="F577" s="33"/>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32"/>
      <c r="C578" s="33"/>
      <c r="D578" s="33"/>
      <c r="E578" s="33"/>
      <c r="F578" s="33"/>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32"/>
      <c r="C579" s="33"/>
      <c r="D579" s="33"/>
      <c r="E579" s="33"/>
      <c r="F579" s="33"/>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32"/>
      <c r="C580" s="33"/>
      <c r="D580" s="33"/>
      <c r="E580" s="33"/>
      <c r="F580" s="33"/>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32"/>
      <c r="C581" s="33"/>
      <c r="D581" s="33"/>
      <c r="E581" s="33"/>
      <c r="F581" s="33"/>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32"/>
      <c r="C582" s="33"/>
      <c r="D582" s="33"/>
      <c r="E582" s="33"/>
      <c r="F582" s="33"/>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32"/>
      <c r="C583" s="33"/>
      <c r="D583" s="33"/>
      <c r="E583" s="33"/>
      <c r="F583" s="33"/>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32"/>
      <c r="C584" s="33"/>
      <c r="D584" s="33"/>
      <c r="E584" s="33"/>
      <c r="F584" s="33"/>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32"/>
      <c r="C585" s="33"/>
      <c r="D585" s="33"/>
      <c r="E585" s="33"/>
      <c r="F585" s="33"/>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32"/>
      <c r="C586" s="33"/>
      <c r="D586" s="33"/>
      <c r="E586" s="33"/>
      <c r="F586" s="33"/>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32"/>
      <c r="C587" s="33"/>
      <c r="D587" s="33"/>
      <c r="E587" s="33"/>
      <c r="F587" s="33"/>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32"/>
      <c r="C588" s="33"/>
      <c r="D588" s="33"/>
      <c r="E588" s="33"/>
      <c r="F588" s="33"/>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32"/>
      <c r="C589" s="33"/>
      <c r="D589" s="33"/>
      <c r="E589" s="33"/>
      <c r="F589" s="33"/>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32"/>
      <c r="C590" s="33"/>
      <c r="D590" s="33"/>
      <c r="E590" s="33"/>
      <c r="F590" s="33"/>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32"/>
      <c r="C591" s="33"/>
      <c r="D591" s="33"/>
      <c r="E591" s="33"/>
      <c r="F591" s="33"/>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32"/>
      <c r="C592" s="33"/>
      <c r="D592" s="33"/>
      <c r="E592" s="33"/>
      <c r="F592" s="33"/>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32"/>
      <c r="C593" s="33"/>
      <c r="D593" s="33"/>
      <c r="E593" s="33"/>
      <c r="F593" s="33"/>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32"/>
      <c r="C594" s="33"/>
      <c r="D594" s="33"/>
      <c r="E594" s="33"/>
      <c r="F594" s="33"/>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32"/>
      <c r="C595" s="33"/>
      <c r="D595" s="33"/>
      <c r="E595" s="33"/>
      <c r="F595" s="33"/>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32"/>
      <c r="C596" s="33"/>
      <c r="D596" s="33"/>
      <c r="E596" s="33"/>
      <c r="F596" s="33"/>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32"/>
      <c r="C597" s="33"/>
      <c r="D597" s="33"/>
      <c r="E597" s="33"/>
      <c r="F597" s="33"/>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32"/>
      <c r="C598" s="33"/>
      <c r="D598" s="33"/>
      <c r="E598" s="33"/>
      <c r="F598" s="33"/>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32"/>
      <c r="C599" s="33"/>
      <c r="D599" s="33"/>
      <c r="E599" s="33"/>
      <c r="F599" s="33"/>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32"/>
      <c r="C600" s="33"/>
      <c r="D600" s="33"/>
      <c r="E600" s="33"/>
      <c r="F600" s="33"/>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32"/>
      <c r="C601" s="33"/>
      <c r="D601" s="33"/>
      <c r="E601" s="33"/>
      <c r="F601" s="33"/>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32"/>
      <c r="C602" s="33"/>
      <c r="D602" s="33"/>
      <c r="E602" s="33"/>
      <c r="F602" s="33"/>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32"/>
      <c r="C603" s="33"/>
      <c r="D603" s="33"/>
      <c r="E603" s="33"/>
      <c r="F603" s="33"/>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32"/>
      <c r="C604" s="33"/>
      <c r="D604" s="33"/>
      <c r="E604" s="33"/>
      <c r="F604" s="33"/>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32"/>
      <c r="C605" s="33"/>
      <c r="D605" s="33"/>
      <c r="E605" s="33"/>
      <c r="F605" s="33"/>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32"/>
      <c r="C606" s="33"/>
      <c r="D606" s="33"/>
      <c r="E606" s="33"/>
      <c r="F606" s="33"/>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32"/>
      <c r="C607" s="33"/>
      <c r="D607" s="33"/>
      <c r="E607" s="33"/>
      <c r="F607" s="33"/>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32"/>
      <c r="C608" s="33"/>
      <c r="D608" s="33"/>
      <c r="E608" s="33"/>
      <c r="F608" s="33"/>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32"/>
      <c r="C609" s="33"/>
      <c r="D609" s="33"/>
      <c r="E609" s="33"/>
      <c r="F609" s="33"/>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32"/>
      <c r="C610" s="33"/>
      <c r="D610" s="33"/>
      <c r="E610" s="33"/>
      <c r="F610" s="33"/>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32"/>
      <c r="C611" s="33"/>
      <c r="D611" s="33"/>
      <c r="E611" s="33"/>
      <c r="F611" s="33"/>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32"/>
      <c r="C612" s="33"/>
      <c r="D612" s="33"/>
      <c r="E612" s="33"/>
      <c r="F612" s="33"/>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32"/>
      <c r="C613" s="33"/>
      <c r="D613" s="33"/>
      <c r="E613" s="33"/>
      <c r="F613" s="33"/>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32"/>
      <c r="C614" s="33"/>
      <c r="D614" s="33"/>
      <c r="E614" s="33"/>
      <c r="F614" s="33"/>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32"/>
      <c r="C615" s="33"/>
      <c r="D615" s="33"/>
      <c r="E615" s="33"/>
      <c r="F615" s="33"/>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32"/>
      <c r="C616" s="33"/>
      <c r="D616" s="33"/>
      <c r="E616" s="33"/>
      <c r="F616" s="33"/>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32"/>
      <c r="C617" s="33"/>
      <c r="D617" s="33"/>
      <c r="E617" s="33"/>
      <c r="F617" s="33"/>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32"/>
      <c r="C618" s="33"/>
      <c r="D618" s="33"/>
      <c r="E618" s="33"/>
      <c r="F618" s="33"/>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32"/>
      <c r="C619" s="33"/>
      <c r="D619" s="33"/>
      <c r="E619" s="33"/>
      <c r="F619" s="33"/>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32"/>
      <c r="C620" s="33"/>
      <c r="D620" s="33"/>
      <c r="E620" s="33"/>
      <c r="F620" s="33"/>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32"/>
      <c r="C621" s="33"/>
      <c r="D621" s="33"/>
      <c r="E621" s="33"/>
      <c r="F621" s="33"/>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32"/>
      <c r="C622" s="33"/>
      <c r="D622" s="33"/>
      <c r="E622" s="33"/>
      <c r="F622" s="33"/>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32"/>
      <c r="C623" s="33"/>
      <c r="D623" s="33"/>
      <c r="E623" s="33"/>
      <c r="F623" s="33"/>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32"/>
      <c r="C624" s="33"/>
      <c r="D624" s="33"/>
      <c r="E624" s="33"/>
      <c r="F624" s="33"/>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32"/>
      <c r="C625" s="33"/>
      <c r="D625" s="33"/>
      <c r="E625" s="33"/>
      <c r="F625" s="33"/>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32"/>
      <c r="C626" s="33"/>
      <c r="D626" s="33"/>
      <c r="E626" s="33"/>
      <c r="F626" s="33"/>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32"/>
      <c r="C627" s="33"/>
      <c r="D627" s="33"/>
      <c r="E627" s="33"/>
      <c r="F627" s="33"/>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32"/>
      <c r="C628" s="33"/>
      <c r="D628" s="33"/>
      <c r="E628" s="33"/>
      <c r="F628" s="33"/>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32"/>
      <c r="C629" s="33"/>
      <c r="D629" s="33"/>
      <c r="E629" s="33"/>
      <c r="F629" s="33"/>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32"/>
      <c r="C630" s="33"/>
      <c r="D630" s="33"/>
      <c r="E630" s="33"/>
      <c r="F630" s="33"/>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32"/>
      <c r="C631" s="33"/>
      <c r="D631" s="33"/>
      <c r="E631" s="33"/>
      <c r="F631" s="33"/>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32"/>
      <c r="C632" s="33"/>
      <c r="D632" s="33"/>
      <c r="E632" s="33"/>
      <c r="F632" s="33"/>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32"/>
      <c r="C633" s="33"/>
      <c r="D633" s="33"/>
      <c r="E633" s="33"/>
      <c r="F633" s="33"/>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32"/>
      <c r="C634" s="33"/>
      <c r="D634" s="33"/>
      <c r="E634" s="33"/>
      <c r="F634" s="33"/>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32"/>
      <c r="C635" s="33"/>
      <c r="D635" s="33"/>
      <c r="E635" s="33"/>
      <c r="F635" s="33"/>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32"/>
      <c r="C636" s="33"/>
      <c r="D636" s="33"/>
      <c r="E636" s="33"/>
      <c r="F636" s="33"/>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32"/>
      <c r="C637" s="33"/>
      <c r="D637" s="33"/>
      <c r="E637" s="33"/>
      <c r="F637" s="33"/>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32"/>
      <c r="C638" s="33"/>
      <c r="D638" s="33"/>
      <c r="E638" s="33"/>
      <c r="F638" s="33"/>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32"/>
      <c r="C639" s="33"/>
      <c r="D639" s="33"/>
      <c r="E639" s="33"/>
      <c r="F639" s="33"/>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32"/>
      <c r="C640" s="33"/>
      <c r="D640" s="33"/>
      <c r="E640" s="33"/>
      <c r="F640" s="33"/>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32"/>
      <c r="C641" s="33"/>
      <c r="D641" s="33"/>
      <c r="E641" s="33"/>
      <c r="F641" s="33"/>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32"/>
      <c r="C642" s="33"/>
      <c r="D642" s="33"/>
      <c r="E642" s="33"/>
      <c r="F642" s="33"/>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32"/>
      <c r="C643" s="33"/>
      <c r="D643" s="33"/>
      <c r="E643" s="33"/>
      <c r="F643" s="33"/>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32"/>
      <c r="C644" s="33"/>
      <c r="D644" s="33"/>
      <c r="E644" s="33"/>
      <c r="F644" s="33"/>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32"/>
      <c r="C645" s="33"/>
      <c r="D645" s="33"/>
      <c r="E645" s="33"/>
      <c r="F645" s="33"/>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32"/>
      <c r="C646" s="33"/>
      <c r="D646" s="33"/>
      <c r="E646" s="33"/>
      <c r="F646" s="33"/>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32"/>
      <c r="C647" s="33"/>
      <c r="D647" s="33"/>
      <c r="E647" s="33"/>
      <c r="F647" s="33"/>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32"/>
      <c r="C648" s="33"/>
      <c r="D648" s="33"/>
      <c r="E648" s="33"/>
      <c r="F648" s="33"/>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32"/>
      <c r="C649" s="33"/>
      <c r="D649" s="33"/>
      <c r="E649" s="33"/>
      <c r="F649" s="33"/>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32"/>
      <c r="C650" s="33"/>
      <c r="D650" s="33"/>
      <c r="E650" s="33"/>
      <c r="F650" s="33"/>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32"/>
      <c r="C651" s="33"/>
      <c r="D651" s="33"/>
      <c r="E651" s="33"/>
      <c r="F651" s="33"/>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32"/>
      <c r="C652" s="33"/>
      <c r="D652" s="33"/>
      <c r="E652" s="33"/>
      <c r="F652" s="33"/>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32"/>
      <c r="C653" s="33"/>
      <c r="D653" s="33"/>
      <c r="E653" s="33"/>
      <c r="F653" s="33"/>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32"/>
      <c r="C654" s="33"/>
      <c r="D654" s="33"/>
      <c r="E654" s="33"/>
      <c r="F654" s="33"/>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32"/>
      <c r="C655" s="33"/>
      <c r="D655" s="33"/>
      <c r="E655" s="33"/>
      <c r="F655" s="33"/>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32"/>
      <c r="C656" s="33"/>
      <c r="D656" s="33"/>
      <c r="E656" s="33"/>
      <c r="F656" s="33"/>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32"/>
      <c r="C657" s="33"/>
      <c r="D657" s="33"/>
      <c r="E657" s="33"/>
      <c r="F657" s="33"/>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32"/>
      <c r="C658" s="33"/>
      <c r="D658" s="33"/>
      <c r="E658" s="33"/>
      <c r="F658" s="33"/>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32"/>
      <c r="C659" s="33"/>
      <c r="D659" s="33"/>
      <c r="E659" s="33"/>
      <c r="F659" s="33"/>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32"/>
      <c r="C660" s="33"/>
      <c r="D660" s="33"/>
      <c r="E660" s="33"/>
      <c r="F660" s="33"/>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32"/>
      <c r="C661" s="33"/>
      <c r="D661" s="33"/>
      <c r="E661" s="33"/>
      <c r="F661" s="33"/>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32"/>
      <c r="C662" s="33"/>
      <c r="D662" s="33"/>
      <c r="E662" s="33"/>
      <c r="F662" s="33"/>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32"/>
      <c r="C663" s="33"/>
      <c r="D663" s="33"/>
      <c r="E663" s="33"/>
      <c r="F663" s="33"/>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32"/>
      <c r="C664" s="33"/>
      <c r="D664" s="33"/>
      <c r="E664" s="33"/>
      <c r="F664" s="33"/>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32"/>
      <c r="C665" s="33"/>
      <c r="D665" s="33"/>
      <c r="E665" s="33"/>
      <c r="F665" s="33"/>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32"/>
      <c r="C666" s="33"/>
      <c r="D666" s="33"/>
      <c r="E666" s="33"/>
      <c r="F666" s="33"/>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32"/>
      <c r="C667" s="33"/>
      <c r="D667" s="33"/>
      <c r="E667" s="33"/>
      <c r="F667" s="33"/>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32"/>
      <c r="C668" s="33"/>
      <c r="D668" s="33"/>
      <c r="E668" s="33"/>
      <c r="F668" s="33"/>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32"/>
      <c r="C669" s="33"/>
      <c r="D669" s="33"/>
      <c r="E669" s="33"/>
      <c r="F669" s="33"/>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32"/>
      <c r="C670" s="33"/>
      <c r="D670" s="33"/>
      <c r="E670" s="33"/>
      <c r="F670" s="33"/>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32"/>
      <c r="C671" s="33"/>
      <c r="D671" s="33"/>
      <c r="E671" s="33"/>
      <c r="F671" s="33"/>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32"/>
      <c r="C672" s="33"/>
      <c r="D672" s="33"/>
      <c r="E672" s="33"/>
      <c r="F672" s="33"/>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32"/>
      <c r="C673" s="33"/>
      <c r="D673" s="33"/>
      <c r="E673" s="33"/>
      <c r="F673" s="33"/>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32"/>
      <c r="C674" s="33"/>
      <c r="D674" s="33"/>
      <c r="E674" s="33"/>
      <c r="F674" s="33"/>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32"/>
      <c r="C675" s="33"/>
      <c r="D675" s="33"/>
      <c r="E675" s="33"/>
      <c r="F675" s="33"/>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32"/>
      <c r="C676" s="33"/>
      <c r="D676" s="33"/>
      <c r="E676" s="33"/>
      <c r="F676" s="33"/>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32"/>
      <c r="C677" s="33"/>
      <c r="D677" s="33"/>
      <c r="E677" s="33"/>
      <c r="F677" s="33"/>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32"/>
      <c r="C678" s="33"/>
      <c r="D678" s="33"/>
      <c r="E678" s="33"/>
      <c r="F678" s="33"/>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32"/>
      <c r="C679" s="33"/>
      <c r="D679" s="33"/>
      <c r="E679" s="33"/>
      <c r="F679" s="33"/>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32"/>
      <c r="C680" s="33"/>
      <c r="D680" s="33"/>
      <c r="E680" s="33"/>
      <c r="F680" s="33"/>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32"/>
      <c r="C681" s="33"/>
      <c r="D681" s="33"/>
      <c r="E681" s="33"/>
      <c r="F681" s="33"/>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32"/>
      <c r="C682" s="33"/>
      <c r="D682" s="33"/>
      <c r="E682" s="33"/>
      <c r="F682" s="33"/>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32"/>
      <c r="C683" s="33"/>
      <c r="D683" s="33"/>
      <c r="E683" s="33"/>
      <c r="F683" s="33"/>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32"/>
      <c r="C684" s="33"/>
      <c r="D684" s="33"/>
      <c r="E684" s="33"/>
      <c r="F684" s="33"/>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32"/>
      <c r="C685" s="33"/>
      <c r="D685" s="33"/>
      <c r="E685" s="33"/>
      <c r="F685" s="33"/>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32"/>
      <c r="C686" s="33"/>
      <c r="D686" s="33"/>
      <c r="E686" s="33"/>
      <c r="F686" s="33"/>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32"/>
      <c r="C687" s="33"/>
      <c r="D687" s="33"/>
      <c r="E687" s="33"/>
      <c r="F687" s="33"/>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32"/>
      <c r="C688" s="33"/>
      <c r="D688" s="33"/>
      <c r="E688" s="33"/>
      <c r="F688" s="33"/>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32"/>
      <c r="C689" s="33"/>
      <c r="D689" s="33"/>
      <c r="E689" s="33"/>
      <c r="F689" s="33"/>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32"/>
      <c r="C690" s="33"/>
      <c r="D690" s="33"/>
      <c r="E690" s="33"/>
      <c r="F690" s="33"/>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32"/>
      <c r="C691" s="33"/>
      <c r="D691" s="33"/>
      <c r="E691" s="33"/>
      <c r="F691" s="33"/>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32"/>
      <c r="C692" s="33"/>
      <c r="D692" s="33"/>
      <c r="E692" s="33"/>
      <c r="F692" s="33"/>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32"/>
      <c r="C693" s="33"/>
      <c r="D693" s="33"/>
      <c r="E693" s="33"/>
      <c r="F693" s="33"/>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32"/>
      <c r="C694" s="33"/>
      <c r="D694" s="33"/>
      <c r="E694" s="33"/>
      <c r="F694" s="33"/>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32"/>
      <c r="C695" s="33"/>
      <c r="D695" s="33"/>
      <c r="E695" s="33"/>
      <c r="F695" s="33"/>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32"/>
      <c r="C696" s="33"/>
      <c r="D696" s="33"/>
      <c r="E696" s="33"/>
      <c r="F696" s="33"/>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32"/>
      <c r="C697" s="33"/>
      <c r="D697" s="33"/>
      <c r="E697" s="33"/>
      <c r="F697" s="33"/>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32"/>
      <c r="C698" s="33"/>
      <c r="D698" s="33"/>
      <c r="E698" s="33"/>
      <c r="F698" s="33"/>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32"/>
      <c r="C699" s="33"/>
      <c r="D699" s="33"/>
      <c r="E699" s="33"/>
      <c r="F699" s="33"/>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32"/>
      <c r="C700" s="33"/>
      <c r="D700" s="33"/>
      <c r="E700" s="33"/>
      <c r="F700" s="33"/>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32"/>
      <c r="C701" s="33"/>
      <c r="D701" s="33"/>
      <c r="E701" s="33"/>
      <c r="F701" s="33"/>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32"/>
      <c r="C702" s="33"/>
      <c r="D702" s="33"/>
      <c r="E702" s="33"/>
      <c r="F702" s="33"/>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32"/>
      <c r="C703" s="33"/>
      <c r="D703" s="33"/>
      <c r="E703" s="33"/>
      <c r="F703" s="33"/>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32"/>
      <c r="C704" s="33"/>
      <c r="D704" s="33"/>
      <c r="E704" s="33"/>
      <c r="F704" s="33"/>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32"/>
      <c r="C705" s="33"/>
      <c r="D705" s="33"/>
      <c r="E705" s="33"/>
      <c r="F705" s="33"/>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32"/>
      <c r="C706" s="33"/>
      <c r="D706" s="33"/>
      <c r="E706" s="33"/>
      <c r="F706" s="33"/>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32"/>
      <c r="C707" s="33"/>
      <c r="D707" s="33"/>
      <c r="E707" s="33"/>
      <c r="F707" s="33"/>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32"/>
      <c r="C708" s="33"/>
      <c r="D708" s="33"/>
      <c r="E708" s="33"/>
      <c r="F708" s="33"/>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32"/>
      <c r="C709" s="33"/>
      <c r="D709" s="33"/>
      <c r="E709" s="33"/>
      <c r="F709" s="33"/>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32"/>
      <c r="C710" s="33"/>
      <c r="D710" s="33"/>
      <c r="E710" s="33"/>
      <c r="F710" s="33"/>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32"/>
      <c r="C711" s="33"/>
      <c r="D711" s="33"/>
      <c r="E711" s="33"/>
      <c r="F711" s="33"/>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32"/>
      <c r="C712" s="33"/>
      <c r="D712" s="33"/>
      <c r="E712" s="33"/>
      <c r="F712" s="33"/>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32"/>
      <c r="C713" s="33"/>
      <c r="D713" s="33"/>
      <c r="E713" s="33"/>
      <c r="F713" s="33"/>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32"/>
      <c r="C714" s="33"/>
      <c r="D714" s="33"/>
      <c r="E714" s="33"/>
      <c r="F714" s="33"/>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32"/>
      <c r="C715" s="33"/>
      <c r="D715" s="33"/>
      <c r="E715" s="33"/>
      <c r="F715" s="33"/>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32"/>
      <c r="C716" s="33"/>
      <c r="D716" s="33"/>
      <c r="E716" s="33"/>
      <c r="F716" s="33"/>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32"/>
      <c r="C717" s="33"/>
      <c r="D717" s="33"/>
      <c r="E717" s="33"/>
      <c r="F717" s="33"/>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32"/>
      <c r="C718" s="33"/>
      <c r="D718" s="33"/>
      <c r="E718" s="33"/>
      <c r="F718" s="33"/>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32"/>
      <c r="C719" s="33"/>
      <c r="D719" s="33"/>
      <c r="E719" s="33"/>
      <c r="F719" s="33"/>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32"/>
      <c r="C720" s="33"/>
      <c r="D720" s="33"/>
      <c r="E720" s="33"/>
      <c r="F720" s="33"/>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32"/>
      <c r="C721" s="33"/>
      <c r="D721" s="33"/>
      <c r="E721" s="33"/>
      <c r="F721" s="33"/>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32"/>
      <c r="C722" s="33"/>
      <c r="D722" s="33"/>
      <c r="E722" s="33"/>
      <c r="F722" s="33"/>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32"/>
      <c r="C723" s="33"/>
      <c r="D723" s="33"/>
      <c r="E723" s="33"/>
      <c r="F723" s="33"/>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32"/>
      <c r="C724" s="33"/>
      <c r="D724" s="33"/>
      <c r="E724" s="33"/>
      <c r="F724" s="33"/>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32"/>
      <c r="C725" s="33"/>
      <c r="D725" s="33"/>
      <c r="E725" s="33"/>
      <c r="F725" s="33"/>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32"/>
      <c r="C726" s="33"/>
      <c r="D726" s="33"/>
      <c r="E726" s="33"/>
      <c r="F726" s="33"/>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32"/>
      <c r="C727" s="33"/>
      <c r="D727" s="33"/>
      <c r="E727" s="33"/>
      <c r="F727" s="33"/>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32"/>
      <c r="C728" s="33"/>
      <c r="D728" s="33"/>
      <c r="E728" s="33"/>
      <c r="F728" s="33"/>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32"/>
      <c r="C729" s="33"/>
      <c r="D729" s="33"/>
      <c r="E729" s="33"/>
      <c r="F729" s="33"/>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32"/>
      <c r="C730" s="33"/>
      <c r="D730" s="33"/>
      <c r="E730" s="33"/>
      <c r="F730" s="33"/>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32"/>
      <c r="C731" s="33"/>
      <c r="D731" s="33"/>
      <c r="E731" s="33"/>
      <c r="F731" s="33"/>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32"/>
      <c r="C732" s="33"/>
      <c r="D732" s="33"/>
      <c r="E732" s="33"/>
      <c r="F732" s="33"/>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32"/>
      <c r="C733" s="33"/>
      <c r="D733" s="33"/>
      <c r="E733" s="33"/>
      <c r="F733" s="33"/>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32"/>
      <c r="C734" s="33"/>
      <c r="D734" s="33"/>
      <c r="E734" s="33"/>
      <c r="F734" s="33"/>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32"/>
      <c r="C735" s="33"/>
      <c r="D735" s="33"/>
      <c r="E735" s="33"/>
      <c r="F735" s="33"/>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32"/>
      <c r="C736" s="33"/>
      <c r="D736" s="33"/>
      <c r="E736" s="33"/>
      <c r="F736" s="33"/>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32"/>
      <c r="C737" s="33"/>
      <c r="D737" s="33"/>
      <c r="E737" s="33"/>
      <c r="F737" s="33"/>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32"/>
      <c r="C738" s="33"/>
      <c r="D738" s="33"/>
      <c r="E738" s="33"/>
      <c r="F738" s="33"/>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32"/>
      <c r="C739" s="33"/>
      <c r="D739" s="33"/>
      <c r="E739" s="33"/>
      <c r="F739" s="33"/>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32"/>
      <c r="C740" s="33"/>
      <c r="D740" s="33"/>
      <c r="E740" s="33"/>
      <c r="F740" s="33"/>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32"/>
      <c r="C741" s="33"/>
      <c r="D741" s="33"/>
      <c r="E741" s="33"/>
      <c r="F741" s="33"/>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32"/>
      <c r="C742" s="33"/>
      <c r="D742" s="33"/>
      <c r="E742" s="33"/>
      <c r="F742" s="33"/>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32"/>
      <c r="C743" s="33"/>
      <c r="D743" s="33"/>
      <c r="E743" s="33"/>
      <c r="F743" s="33"/>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32"/>
      <c r="C744" s="33"/>
      <c r="D744" s="33"/>
      <c r="E744" s="33"/>
      <c r="F744" s="33"/>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32"/>
      <c r="C745" s="33"/>
      <c r="D745" s="33"/>
      <c r="E745" s="33"/>
      <c r="F745" s="33"/>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32"/>
      <c r="C746" s="33"/>
      <c r="D746" s="33"/>
      <c r="E746" s="33"/>
      <c r="F746" s="33"/>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32"/>
      <c r="C747" s="33"/>
      <c r="D747" s="33"/>
      <c r="E747" s="33"/>
      <c r="F747" s="33"/>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32"/>
      <c r="C748" s="33"/>
      <c r="D748" s="33"/>
      <c r="E748" s="33"/>
      <c r="F748" s="33"/>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32"/>
      <c r="C749" s="33"/>
      <c r="D749" s="33"/>
      <c r="E749" s="33"/>
      <c r="F749" s="33"/>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32"/>
      <c r="C750" s="33"/>
      <c r="D750" s="33"/>
      <c r="E750" s="33"/>
      <c r="F750" s="33"/>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32"/>
      <c r="C751" s="33"/>
      <c r="D751" s="33"/>
      <c r="E751" s="33"/>
      <c r="F751" s="33"/>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32"/>
      <c r="C752" s="33"/>
      <c r="D752" s="33"/>
      <c r="E752" s="33"/>
      <c r="F752" s="33"/>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32"/>
      <c r="C753" s="33"/>
      <c r="D753" s="33"/>
      <c r="E753" s="33"/>
      <c r="F753" s="33"/>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32"/>
      <c r="C754" s="33"/>
      <c r="D754" s="33"/>
      <c r="E754" s="33"/>
      <c r="F754" s="33"/>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32"/>
      <c r="C755" s="33"/>
      <c r="D755" s="33"/>
      <c r="E755" s="33"/>
      <c r="F755" s="33"/>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32"/>
      <c r="C756" s="33"/>
      <c r="D756" s="33"/>
      <c r="E756" s="33"/>
      <c r="F756" s="33"/>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32"/>
      <c r="C757" s="33"/>
      <c r="D757" s="33"/>
      <c r="E757" s="33"/>
      <c r="F757" s="33"/>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32"/>
      <c r="C758" s="33"/>
      <c r="D758" s="33"/>
      <c r="E758" s="33"/>
      <c r="F758" s="33"/>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32"/>
      <c r="C759" s="33"/>
      <c r="D759" s="33"/>
      <c r="E759" s="33"/>
      <c r="F759" s="33"/>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32"/>
      <c r="C760" s="33"/>
      <c r="D760" s="33"/>
      <c r="E760" s="33"/>
      <c r="F760" s="33"/>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32"/>
      <c r="C761" s="33"/>
      <c r="D761" s="33"/>
      <c r="E761" s="33"/>
      <c r="F761" s="33"/>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32"/>
      <c r="C762" s="33"/>
      <c r="D762" s="33"/>
      <c r="E762" s="33"/>
      <c r="F762" s="33"/>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32"/>
      <c r="C763" s="33"/>
      <c r="D763" s="33"/>
      <c r="E763" s="33"/>
      <c r="F763" s="33"/>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32"/>
      <c r="C764" s="33"/>
      <c r="D764" s="33"/>
      <c r="E764" s="33"/>
      <c r="F764" s="33"/>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32"/>
      <c r="C765" s="33"/>
      <c r="D765" s="33"/>
      <c r="E765" s="33"/>
      <c r="F765" s="33"/>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32"/>
      <c r="C766" s="33"/>
      <c r="D766" s="33"/>
      <c r="E766" s="33"/>
      <c r="F766" s="33"/>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32"/>
      <c r="C767" s="33"/>
      <c r="D767" s="33"/>
      <c r="E767" s="33"/>
      <c r="F767" s="33"/>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32"/>
      <c r="C768" s="33"/>
      <c r="D768" s="33"/>
      <c r="E768" s="33"/>
      <c r="F768" s="33"/>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32"/>
      <c r="C769" s="33"/>
      <c r="D769" s="33"/>
      <c r="E769" s="33"/>
      <c r="F769" s="33"/>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32"/>
      <c r="C770" s="33"/>
      <c r="D770" s="33"/>
      <c r="E770" s="33"/>
      <c r="F770" s="33"/>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32"/>
      <c r="C771" s="33"/>
      <c r="D771" s="33"/>
      <c r="E771" s="33"/>
      <c r="F771" s="33"/>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32"/>
      <c r="C772" s="33"/>
      <c r="D772" s="33"/>
      <c r="E772" s="33"/>
      <c r="F772" s="33"/>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32"/>
      <c r="C773" s="33"/>
      <c r="D773" s="33"/>
      <c r="E773" s="33"/>
      <c r="F773" s="33"/>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32"/>
      <c r="C774" s="33"/>
      <c r="D774" s="33"/>
      <c r="E774" s="33"/>
      <c r="F774" s="33"/>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32"/>
      <c r="C775" s="33"/>
      <c r="D775" s="33"/>
      <c r="E775" s="33"/>
      <c r="F775" s="33"/>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32"/>
      <c r="C776" s="33"/>
      <c r="D776" s="33"/>
      <c r="E776" s="33"/>
      <c r="F776" s="33"/>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32"/>
      <c r="C777" s="33"/>
      <c r="D777" s="33"/>
      <c r="E777" s="33"/>
      <c r="F777" s="33"/>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32"/>
      <c r="C778" s="33"/>
      <c r="D778" s="33"/>
      <c r="E778" s="33"/>
      <c r="F778" s="33"/>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32"/>
      <c r="C779" s="33"/>
      <c r="D779" s="33"/>
      <c r="E779" s="33"/>
      <c r="F779" s="33"/>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32"/>
      <c r="C780" s="33"/>
      <c r="D780" s="33"/>
      <c r="E780" s="33"/>
      <c r="F780" s="33"/>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32"/>
      <c r="C781" s="33"/>
      <c r="D781" s="33"/>
      <c r="E781" s="33"/>
      <c r="F781" s="33"/>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32"/>
      <c r="C782" s="33"/>
      <c r="D782" s="33"/>
      <c r="E782" s="33"/>
      <c r="F782" s="33"/>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32"/>
      <c r="C783" s="33"/>
      <c r="D783" s="33"/>
      <c r="E783" s="33"/>
      <c r="F783" s="33"/>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32"/>
      <c r="C784" s="33"/>
      <c r="D784" s="33"/>
      <c r="E784" s="33"/>
      <c r="F784" s="33"/>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32"/>
      <c r="C785" s="33"/>
      <c r="D785" s="33"/>
      <c r="E785" s="33"/>
      <c r="F785" s="33"/>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32"/>
      <c r="C786" s="33"/>
      <c r="D786" s="33"/>
      <c r="E786" s="33"/>
      <c r="F786" s="33"/>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32"/>
      <c r="C787" s="33"/>
      <c r="D787" s="33"/>
      <c r="E787" s="33"/>
      <c r="F787" s="33"/>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32"/>
      <c r="C788" s="33"/>
      <c r="D788" s="33"/>
      <c r="E788" s="33"/>
      <c r="F788" s="33"/>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32"/>
      <c r="C789" s="33"/>
      <c r="D789" s="33"/>
      <c r="E789" s="33"/>
      <c r="F789" s="33"/>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32"/>
      <c r="C790" s="33"/>
      <c r="D790" s="33"/>
      <c r="E790" s="33"/>
      <c r="F790" s="33"/>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32"/>
      <c r="C791" s="33"/>
      <c r="D791" s="33"/>
      <c r="E791" s="33"/>
      <c r="F791" s="33"/>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32"/>
      <c r="C792" s="33"/>
      <c r="D792" s="33"/>
      <c r="E792" s="33"/>
      <c r="F792" s="33"/>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32"/>
      <c r="C793" s="33"/>
      <c r="D793" s="33"/>
      <c r="E793" s="33"/>
      <c r="F793" s="33"/>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32"/>
      <c r="C794" s="33"/>
      <c r="D794" s="33"/>
      <c r="E794" s="33"/>
      <c r="F794" s="33"/>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32"/>
      <c r="C795" s="33"/>
      <c r="D795" s="33"/>
      <c r="E795" s="33"/>
      <c r="F795" s="33"/>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32"/>
      <c r="C796" s="33"/>
      <c r="D796" s="33"/>
      <c r="E796" s="33"/>
      <c r="F796" s="33"/>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32"/>
      <c r="C797" s="33"/>
      <c r="D797" s="33"/>
      <c r="E797" s="33"/>
      <c r="F797" s="33"/>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32"/>
      <c r="C798" s="33"/>
      <c r="D798" s="33"/>
      <c r="E798" s="33"/>
      <c r="F798" s="33"/>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32"/>
      <c r="C799" s="33"/>
      <c r="D799" s="33"/>
      <c r="E799" s="33"/>
      <c r="F799" s="33"/>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32"/>
      <c r="C800" s="33"/>
      <c r="D800" s="33"/>
      <c r="E800" s="33"/>
      <c r="F800" s="33"/>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32"/>
      <c r="C801" s="33"/>
      <c r="D801" s="33"/>
      <c r="E801" s="33"/>
      <c r="F801" s="33"/>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32"/>
      <c r="C802" s="33"/>
      <c r="D802" s="33"/>
      <c r="E802" s="33"/>
      <c r="F802" s="33"/>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32"/>
      <c r="C803" s="33"/>
      <c r="D803" s="33"/>
      <c r="E803" s="33"/>
      <c r="F803" s="33"/>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32"/>
      <c r="C804" s="33"/>
      <c r="D804" s="33"/>
      <c r="E804" s="33"/>
      <c r="F804" s="33"/>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32"/>
      <c r="C805" s="33"/>
      <c r="D805" s="33"/>
      <c r="E805" s="33"/>
      <c r="F805" s="33"/>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32"/>
      <c r="C806" s="33"/>
      <c r="D806" s="33"/>
      <c r="E806" s="33"/>
      <c r="F806" s="33"/>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32"/>
      <c r="C807" s="33"/>
      <c r="D807" s="33"/>
      <c r="E807" s="33"/>
      <c r="F807" s="33"/>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32"/>
      <c r="C808" s="33"/>
      <c r="D808" s="33"/>
      <c r="E808" s="33"/>
      <c r="F808" s="33"/>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32"/>
      <c r="C809" s="33"/>
      <c r="D809" s="33"/>
      <c r="E809" s="33"/>
      <c r="F809" s="33"/>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32"/>
      <c r="C810" s="33"/>
      <c r="D810" s="33"/>
      <c r="E810" s="33"/>
      <c r="F810" s="33"/>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32"/>
      <c r="C811" s="33"/>
      <c r="D811" s="33"/>
      <c r="E811" s="33"/>
      <c r="F811" s="33"/>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32"/>
      <c r="C812" s="33"/>
      <c r="D812" s="33"/>
      <c r="E812" s="33"/>
      <c r="F812" s="33"/>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32"/>
      <c r="C813" s="33"/>
      <c r="D813" s="33"/>
      <c r="E813" s="33"/>
      <c r="F813" s="33"/>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32"/>
      <c r="C814" s="33"/>
      <c r="D814" s="33"/>
      <c r="E814" s="33"/>
      <c r="F814" s="33"/>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32"/>
      <c r="C815" s="33"/>
      <c r="D815" s="33"/>
      <c r="E815" s="33"/>
      <c r="F815" s="33"/>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32"/>
      <c r="C816" s="33"/>
      <c r="D816" s="33"/>
      <c r="E816" s="33"/>
      <c r="F816" s="33"/>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32"/>
      <c r="C817" s="33"/>
      <c r="D817" s="33"/>
      <c r="E817" s="33"/>
      <c r="F817" s="33"/>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32"/>
      <c r="C818" s="33"/>
      <c r="D818" s="33"/>
      <c r="E818" s="33"/>
      <c r="F818" s="33"/>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32"/>
      <c r="C819" s="33"/>
      <c r="D819" s="33"/>
      <c r="E819" s="33"/>
      <c r="F819" s="33"/>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32"/>
      <c r="C820" s="33"/>
      <c r="D820" s="33"/>
      <c r="E820" s="33"/>
      <c r="F820" s="33"/>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32"/>
      <c r="C821" s="33"/>
      <c r="D821" s="33"/>
      <c r="E821" s="33"/>
      <c r="F821" s="33"/>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32"/>
      <c r="C822" s="33"/>
      <c r="D822" s="33"/>
      <c r="E822" s="33"/>
      <c r="F822" s="33"/>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32"/>
      <c r="C823" s="33"/>
      <c r="D823" s="33"/>
      <c r="E823" s="33"/>
      <c r="F823" s="33"/>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32"/>
      <c r="C824" s="33"/>
      <c r="D824" s="33"/>
      <c r="E824" s="33"/>
      <c r="F824" s="33"/>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32"/>
      <c r="C825" s="33"/>
      <c r="D825" s="33"/>
      <c r="E825" s="33"/>
      <c r="F825" s="33"/>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32"/>
      <c r="C826" s="33"/>
      <c r="D826" s="33"/>
      <c r="E826" s="33"/>
      <c r="F826" s="33"/>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32"/>
      <c r="C827" s="33"/>
      <c r="D827" s="33"/>
      <c r="E827" s="33"/>
      <c r="F827" s="33"/>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32"/>
      <c r="C828" s="33"/>
      <c r="D828" s="33"/>
      <c r="E828" s="33"/>
      <c r="F828" s="33"/>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32"/>
      <c r="C829" s="33"/>
      <c r="D829" s="33"/>
      <c r="E829" s="33"/>
      <c r="F829" s="33"/>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32"/>
      <c r="C830" s="33"/>
      <c r="D830" s="33"/>
      <c r="E830" s="33"/>
      <c r="F830" s="33"/>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32"/>
      <c r="C831" s="33"/>
      <c r="D831" s="33"/>
      <c r="E831" s="33"/>
      <c r="F831" s="33"/>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32"/>
      <c r="C832" s="33"/>
      <c r="D832" s="33"/>
      <c r="E832" s="33"/>
      <c r="F832" s="33"/>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32"/>
      <c r="C833" s="33"/>
      <c r="D833" s="33"/>
      <c r="E833" s="33"/>
      <c r="F833" s="33"/>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32"/>
      <c r="C834" s="33"/>
      <c r="D834" s="33"/>
      <c r="E834" s="33"/>
      <c r="F834" s="33"/>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32"/>
      <c r="C835" s="33"/>
      <c r="D835" s="33"/>
      <c r="E835" s="33"/>
      <c r="F835" s="33"/>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32"/>
      <c r="C836" s="33"/>
      <c r="D836" s="33"/>
      <c r="E836" s="33"/>
      <c r="F836" s="33"/>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32"/>
      <c r="C837" s="33"/>
      <c r="D837" s="33"/>
      <c r="E837" s="33"/>
      <c r="F837" s="33"/>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32"/>
      <c r="C838" s="33"/>
      <c r="D838" s="33"/>
      <c r="E838" s="33"/>
      <c r="F838" s="33"/>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32"/>
      <c r="C839" s="33"/>
      <c r="D839" s="33"/>
      <c r="E839" s="33"/>
      <c r="F839" s="33"/>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32"/>
      <c r="C840" s="33"/>
      <c r="D840" s="33"/>
      <c r="E840" s="33"/>
      <c r="F840" s="33"/>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32"/>
      <c r="C841" s="33"/>
      <c r="D841" s="33"/>
      <c r="E841" s="33"/>
      <c r="F841" s="33"/>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32"/>
      <c r="C842" s="33"/>
      <c r="D842" s="33"/>
      <c r="E842" s="33"/>
      <c r="F842" s="33"/>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32"/>
      <c r="C843" s="33"/>
      <c r="D843" s="33"/>
      <c r="E843" s="33"/>
      <c r="F843" s="33"/>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32"/>
      <c r="C844" s="33"/>
      <c r="D844" s="33"/>
      <c r="E844" s="33"/>
      <c r="F844" s="33"/>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32"/>
      <c r="C845" s="33"/>
      <c r="D845" s="33"/>
      <c r="E845" s="33"/>
      <c r="F845" s="33"/>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32"/>
      <c r="C846" s="33"/>
      <c r="D846" s="33"/>
      <c r="E846" s="33"/>
      <c r="F846" s="33"/>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32"/>
      <c r="C847" s="33"/>
      <c r="D847" s="33"/>
      <c r="E847" s="33"/>
      <c r="F847" s="33"/>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32"/>
      <c r="C848" s="33"/>
      <c r="D848" s="33"/>
      <c r="E848" s="33"/>
      <c r="F848" s="33"/>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32"/>
      <c r="C849" s="33"/>
      <c r="D849" s="33"/>
      <c r="E849" s="33"/>
      <c r="F849" s="33"/>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32"/>
      <c r="C850" s="33"/>
      <c r="D850" s="33"/>
      <c r="E850" s="33"/>
      <c r="F850" s="33"/>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32"/>
      <c r="C851" s="33"/>
      <c r="D851" s="33"/>
      <c r="E851" s="33"/>
      <c r="F851" s="33"/>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32"/>
      <c r="C852" s="33"/>
      <c r="D852" s="33"/>
      <c r="E852" s="33"/>
      <c r="F852" s="33"/>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32"/>
      <c r="C853" s="33"/>
      <c r="D853" s="33"/>
      <c r="E853" s="33"/>
      <c r="F853" s="33"/>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32"/>
      <c r="C854" s="33"/>
      <c r="D854" s="33"/>
      <c r="E854" s="33"/>
      <c r="F854" s="33"/>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32"/>
      <c r="C855" s="33"/>
      <c r="D855" s="33"/>
      <c r="E855" s="33"/>
      <c r="F855" s="33"/>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32"/>
      <c r="C856" s="33"/>
      <c r="D856" s="33"/>
      <c r="E856" s="33"/>
      <c r="F856" s="33"/>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32"/>
      <c r="C857" s="33"/>
      <c r="D857" s="33"/>
      <c r="E857" s="33"/>
      <c r="F857" s="33"/>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32"/>
      <c r="C858" s="33"/>
      <c r="D858" s="33"/>
      <c r="E858" s="33"/>
      <c r="F858" s="33"/>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32"/>
      <c r="C859" s="33"/>
      <c r="D859" s="33"/>
      <c r="E859" s="33"/>
      <c r="F859" s="33"/>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32"/>
      <c r="C860" s="33"/>
      <c r="D860" s="33"/>
      <c r="E860" s="33"/>
      <c r="F860" s="33"/>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32"/>
      <c r="C861" s="33"/>
      <c r="D861" s="33"/>
      <c r="E861" s="33"/>
      <c r="F861" s="33"/>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32"/>
      <c r="C862" s="33"/>
      <c r="D862" s="33"/>
      <c r="E862" s="33"/>
      <c r="F862" s="33"/>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32"/>
      <c r="C863" s="33"/>
      <c r="D863" s="33"/>
      <c r="E863" s="33"/>
      <c r="F863" s="33"/>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32"/>
      <c r="C864" s="33"/>
      <c r="D864" s="33"/>
      <c r="E864" s="33"/>
      <c r="F864" s="33"/>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32"/>
      <c r="C865" s="33"/>
      <c r="D865" s="33"/>
      <c r="E865" s="33"/>
      <c r="F865" s="33"/>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32"/>
      <c r="C866" s="33"/>
      <c r="D866" s="33"/>
      <c r="E866" s="33"/>
      <c r="F866" s="33"/>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32"/>
      <c r="C867" s="33"/>
      <c r="D867" s="33"/>
      <c r="E867" s="33"/>
      <c r="F867" s="33"/>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32"/>
      <c r="C868" s="33"/>
      <c r="D868" s="33"/>
      <c r="E868" s="33"/>
      <c r="F868" s="33"/>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32"/>
      <c r="C869" s="33"/>
      <c r="D869" s="33"/>
      <c r="E869" s="33"/>
      <c r="F869" s="33"/>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32"/>
      <c r="C870" s="33"/>
      <c r="D870" s="33"/>
      <c r="E870" s="33"/>
      <c r="F870" s="33"/>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32"/>
      <c r="C871" s="33"/>
      <c r="D871" s="33"/>
      <c r="E871" s="33"/>
      <c r="F871" s="33"/>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32"/>
      <c r="C872" s="33"/>
      <c r="D872" s="33"/>
      <c r="E872" s="33"/>
      <c r="F872" s="33"/>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32"/>
      <c r="C873" s="33"/>
      <c r="D873" s="33"/>
      <c r="E873" s="33"/>
      <c r="F873" s="33"/>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32"/>
      <c r="C874" s="33"/>
      <c r="D874" s="33"/>
      <c r="E874" s="33"/>
      <c r="F874" s="33"/>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32"/>
      <c r="C875" s="33"/>
      <c r="D875" s="33"/>
      <c r="E875" s="33"/>
      <c r="F875" s="33"/>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32"/>
      <c r="C876" s="33"/>
      <c r="D876" s="33"/>
      <c r="E876" s="33"/>
      <c r="F876" s="33"/>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32"/>
      <c r="C877" s="33"/>
      <c r="D877" s="33"/>
      <c r="E877" s="33"/>
      <c r="F877" s="33"/>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32"/>
      <c r="C878" s="33"/>
      <c r="D878" s="33"/>
      <c r="E878" s="33"/>
      <c r="F878" s="33"/>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32"/>
      <c r="C879" s="33"/>
      <c r="D879" s="33"/>
      <c r="E879" s="33"/>
      <c r="F879" s="33"/>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32"/>
      <c r="C880" s="33"/>
      <c r="D880" s="33"/>
      <c r="E880" s="33"/>
      <c r="F880" s="33"/>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32"/>
      <c r="C881" s="33"/>
      <c r="D881" s="33"/>
      <c r="E881" s="33"/>
      <c r="F881" s="33"/>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32"/>
      <c r="C882" s="33"/>
      <c r="D882" s="33"/>
      <c r="E882" s="33"/>
      <c r="F882" s="33"/>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32"/>
      <c r="C883" s="33"/>
      <c r="D883" s="33"/>
      <c r="E883" s="33"/>
      <c r="F883" s="33"/>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32"/>
      <c r="C884" s="33"/>
      <c r="D884" s="33"/>
      <c r="E884" s="33"/>
      <c r="F884" s="33"/>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32"/>
      <c r="C885" s="33"/>
      <c r="D885" s="33"/>
      <c r="E885" s="33"/>
      <c r="F885" s="33"/>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32"/>
      <c r="C886" s="33"/>
      <c r="D886" s="33"/>
      <c r="E886" s="33"/>
      <c r="F886" s="33"/>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32"/>
      <c r="C887" s="33"/>
      <c r="D887" s="33"/>
      <c r="E887" s="33"/>
      <c r="F887" s="33"/>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32"/>
      <c r="C888" s="33"/>
      <c r="D888" s="33"/>
      <c r="E888" s="33"/>
      <c r="F888" s="33"/>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32"/>
      <c r="C889" s="33"/>
      <c r="D889" s="33"/>
      <c r="E889" s="33"/>
      <c r="F889" s="33"/>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32"/>
      <c r="C890" s="33"/>
      <c r="D890" s="33"/>
      <c r="E890" s="33"/>
      <c r="F890" s="33"/>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32"/>
      <c r="C891" s="33"/>
      <c r="D891" s="33"/>
      <c r="E891" s="33"/>
      <c r="F891" s="33"/>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32"/>
      <c r="C892" s="33"/>
      <c r="D892" s="33"/>
      <c r="E892" s="33"/>
      <c r="F892" s="33"/>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32"/>
      <c r="C893" s="33"/>
      <c r="D893" s="33"/>
      <c r="E893" s="33"/>
      <c r="F893" s="33"/>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32"/>
      <c r="C894" s="33"/>
      <c r="D894" s="33"/>
      <c r="E894" s="33"/>
      <c r="F894" s="33"/>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32"/>
      <c r="C895" s="33"/>
      <c r="D895" s="33"/>
      <c r="E895" s="33"/>
      <c r="F895" s="33"/>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32"/>
      <c r="C896" s="33"/>
      <c r="D896" s="33"/>
      <c r="E896" s="33"/>
      <c r="F896" s="33"/>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32"/>
      <c r="C897" s="33"/>
      <c r="D897" s="33"/>
      <c r="E897" s="33"/>
      <c r="F897" s="33"/>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32"/>
      <c r="C898" s="33"/>
      <c r="D898" s="33"/>
      <c r="E898" s="33"/>
      <c r="F898" s="33"/>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32"/>
      <c r="C899" s="33"/>
      <c r="D899" s="33"/>
      <c r="E899" s="33"/>
      <c r="F899" s="33"/>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32"/>
      <c r="C900" s="33"/>
      <c r="D900" s="33"/>
      <c r="E900" s="33"/>
      <c r="F900" s="33"/>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32"/>
      <c r="C901" s="33"/>
      <c r="D901" s="33"/>
      <c r="E901" s="33"/>
      <c r="F901" s="33"/>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32"/>
      <c r="C902" s="33"/>
      <c r="D902" s="33"/>
      <c r="E902" s="33"/>
      <c r="F902" s="33"/>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32"/>
      <c r="C903" s="33"/>
      <c r="D903" s="33"/>
      <c r="E903" s="33"/>
      <c r="F903" s="33"/>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32"/>
      <c r="C904" s="33"/>
      <c r="D904" s="33"/>
      <c r="E904" s="33"/>
      <c r="F904" s="33"/>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32"/>
      <c r="C905" s="33"/>
      <c r="D905" s="33"/>
      <c r="E905" s="33"/>
      <c r="F905" s="33"/>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32"/>
      <c r="C906" s="33"/>
      <c r="D906" s="33"/>
      <c r="E906" s="33"/>
      <c r="F906" s="33"/>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32"/>
      <c r="C907" s="33"/>
      <c r="D907" s="33"/>
      <c r="E907" s="33"/>
      <c r="F907" s="33"/>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32"/>
      <c r="C908" s="33"/>
      <c r="D908" s="33"/>
      <c r="E908" s="33"/>
      <c r="F908" s="33"/>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32"/>
      <c r="C909" s="33"/>
      <c r="D909" s="33"/>
      <c r="E909" s="33"/>
      <c r="F909" s="33"/>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32"/>
      <c r="C910" s="33"/>
      <c r="D910" s="33"/>
      <c r="E910" s="33"/>
      <c r="F910" s="33"/>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32"/>
      <c r="C911" s="33"/>
      <c r="D911" s="33"/>
      <c r="E911" s="33"/>
      <c r="F911" s="33"/>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32"/>
      <c r="C912" s="33"/>
      <c r="D912" s="33"/>
      <c r="E912" s="33"/>
      <c r="F912" s="33"/>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32"/>
      <c r="C913" s="33"/>
      <c r="D913" s="33"/>
      <c r="E913" s="33"/>
      <c r="F913" s="33"/>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32"/>
      <c r="C914" s="33"/>
      <c r="D914" s="33"/>
      <c r="E914" s="33"/>
      <c r="F914" s="33"/>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32"/>
      <c r="C915" s="33"/>
      <c r="D915" s="33"/>
      <c r="E915" s="33"/>
      <c r="F915" s="33"/>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32"/>
      <c r="C916" s="33"/>
      <c r="D916" s="33"/>
      <c r="E916" s="33"/>
      <c r="F916" s="33"/>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32"/>
      <c r="C917" s="33"/>
      <c r="D917" s="33"/>
      <c r="E917" s="33"/>
      <c r="F917" s="33"/>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32"/>
      <c r="C918" s="33"/>
      <c r="D918" s="33"/>
      <c r="E918" s="33"/>
      <c r="F918" s="33"/>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32"/>
      <c r="C919" s="33"/>
      <c r="D919" s="33"/>
      <c r="E919" s="33"/>
      <c r="F919" s="33"/>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32"/>
      <c r="C920" s="33"/>
      <c r="D920" s="33"/>
      <c r="E920" s="33"/>
      <c r="F920" s="33"/>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32"/>
      <c r="C921" s="33"/>
      <c r="D921" s="33"/>
      <c r="E921" s="33"/>
      <c r="F921" s="33"/>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32"/>
      <c r="C922" s="33"/>
      <c r="D922" s="33"/>
      <c r="E922" s="33"/>
      <c r="F922" s="33"/>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32"/>
      <c r="C923" s="33"/>
      <c r="D923" s="33"/>
      <c r="E923" s="33"/>
      <c r="F923" s="33"/>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32"/>
      <c r="C924" s="33"/>
      <c r="D924" s="33"/>
      <c r="E924" s="33"/>
      <c r="F924" s="33"/>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32"/>
      <c r="C925" s="33"/>
      <c r="D925" s="33"/>
      <c r="E925" s="33"/>
      <c r="F925" s="33"/>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32"/>
      <c r="C926" s="33"/>
      <c r="D926" s="33"/>
      <c r="E926" s="33"/>
      <c r="F926" s="33"/>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32"/>
      <c r="C927" s="33"/>
      <c r="D927" s="33"/>
      <c r="E927" s="33"/>
      <c r="F927" s="33"/>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32"/>
      <c r="C928" s="33"/>
      <c r="D928" s="33"/>
      <c r="E928" s="33"/>
      <c r="F928" s="33"/>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32"/>
      <c r="C929" s="33"/>
      <c r="D929" s="33"/>
      <c r="E929" s="33"/>
      <c r="F929" s="33"/>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32"/>
      <c r="C930" s="33"/>
      <c r="D930" s="33"/>
      <c r="E930" s="33"/>
      <c r="F930" s="33"/>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32"/>
      <c r="C931" s="33"/>
      <c r="D931" s="33"/>
      <c r="E931" s="33"/>
      <c r="F931" s="33"/>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32"/>
      <c r="C932" s="33"/>
      <c r="D932" s="33"/>
      <c r="E932" s="33"/>
      <c r="F932" s="33"/>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32"/>
      <c r="C933" s="33"/>
      <c r="D933" s="33"/>
      <c r="E933" s="33"/>
      <c r="F933" s="33"/>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32"/>
      <c r="C934" s="33"/>
      <c r="D934" s="33"/>
      <c r="E934" s="33"/>
      <c r="F934" s="33"/>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32"/>
      <c r="C935" s="33"/>
      <c r="D935" s="33"/>
      <c r="E935" s="33"/>
      <c r="F935" s="33"/>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32"/>
      <c r="C936" s="33"/>
      <c r="D936" s="33"/>
      <c r="E936" s="33"/>
      <c r="F936" s="33"/>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32"/>
      <c r="C937" s="33"/>
      <c r="D937" s="33"/>
      <c r="E937" s="33"/>
      <c r="F937" s="33"/>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32"/>
      <c r="C938" s="33"/>
      <c r="D938" s="33"/>
      <c r="E938" s="33"/>
      <c r="F938" s="33"/>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32"/>
      <c r="C939" s="33"/>
      <c r="D939" s="33"/>
      <c r="E939" s="33"/>
      <c r="F939" s="33"/>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32"/>
      <c r="C940" s="33"/>
      <c r="D940" s="33"/>
      <c r="E940" s="33"/>
      <c r="F940" s="33"/>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32"/>
      <c r="C941" s="33"/>
      <c r="D941" s="33"/>
      <c r="E941" s="33"/>
      <c r="F941" s="33"/>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32"/>
      <c r="C942" s="33"/>
      <c r="D942" s="33"/>
      <c r="E942" s="33"/>
      <c r="F942" s="33"/>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32"/>
      <c r="C943" s="33"/>
      <c r="D943" s="33"/>
      <c r="E943" s="33"/>
      <c r="F943" s="33"/>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32"/>
      <c r="C944" s="33"/>
      <c r="D944" s="33"/>
      <c r="E944" s="33"/>
      <c r="F944" s="33"/>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32"/>
      <c r="C945" s="33"/>
      <c r="D945" s="33"/>
      <c r="E945" s="33"/>
      <c r="F945" s="33"/>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32"/>
      <c r="C946" s="33"/>
      <c r="D946" s="33"/>
      <c r="E946" s="33"/>
      <c r="F946" s="33"/>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32"/>
      <c r="C947" s="33"/>
      <c r="D947" s="33"/>
      <c r="E947" s="33"/>
      <c r="F947" s="33"/>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32"/>
      <c r="C948" s="33"/>
      <c r="D948" s="33"/>
      <c r="E948" s="33"/>
      <c r="F948" s="33"/>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32"/>
      <c r="C949" s="33"/>
      <c r="D949" s="33"/>
      <c r="E949" s="33"/>
      <c r="F949" s="33"/>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32"/>
      <c r="C950" s="33"/>
      <c r="D950" s="33"/>
      <c r="E950" s="33"/>
      <c r="F950" s="33"/>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32"/>
      <c r="C951" s="33"/>
      <c r="D951" s="33"/>
      <c r="E951" s="33"/>
      <c r="F951" s="33"/>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32"/>
      <c r="C952" s="33"/>
      <c r="D952" s="33"/>
      <c r="E952" s="33"/>
      <c r="F952" s="33"/>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32"/>
      <c r="C953" s="33"/>
      <c r="D953" s="33"/>
      <c r="E953" s="33"/>
      <c r="F953" s="33"/>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32"/>
      <c r="C954" s="33"/>
      <c r="D954" s="33"/>
      <c r="E954" s="33"/>
      <c r="F954" s="33"/>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32"/>
      <c r="C955" s="33"/>
      <c r="D955" s="33"/>
      <c r="E955" s="33"/>
      <c r="F955" s="33"/>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32"/>
      <c r="C956" s="33"/>
      <c r="D956" s="33"/>
      <c r="E956" s="33"/>
      <c r="F956" s="33"/>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32"/>
      <c r="C957" s="33"/>
      <c r="D957" s="33"/>
      <c r="E957" s="33"/>
      <c r="F957" s="33"/>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32"/>
      <c r="C958" s="33"/>
      <c r="D958" s="33"/>
      <c r="E958" s="33"/>
      <c r="F958" s="33"/>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32"/>
      <c r="C959" s="33"/>
      <c r="D959" s="33"/>
      <c r="E959" s="33"/>
      <c r="F959" s="33"/>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32"/>
      <c r="C960" s="33"/>
      <c r="D960" s="33"/>
      <c r="E960" s="33"/>
      <c r="F960" s="33"/>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32"/>
      <c r="C961" s="33"/>
      <c r="D961" s="33"/>
      <c r="E961" s="33"/>
      <c r="F961" s="33"/>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32"/>
      <c r="C962" s="33"/>
      <c r="D962" s="33"/>
      <c r="E962" s="33"/>
      <c r="F962" s="33"/>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32"/>
      <c r="C963" s="33"/>
      <c r="D963" s="33"/>
      <c r="E963" s="33"/>
      <c r="F963" s="33"/>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32"/>
      <c r="C964" s="33"/>
      <c r="D964" s="33"/>
      <c r="E964" s="33"/>
      <c r="F964" s="33"/>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32"/>
      <c r="C965" s="33"/>
      <c r="D965" s="33"/>
      <c r="E965" s="33"/>
      <c r="F965" s="33"/>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32"/>
      <c r="C966" s="33"/>
      <c r="D966" s="33"/>
      <c r="E966" s="33"/>
      <c r="F966" s="33"/>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32"/>
      <c r="C967" s="33"/>
      <c r="D967" s="33"/>
      <c r="E967" s="33"/>
      <c r="F967" s="33"/>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32"/>
      <c r="C968" s="33"/>
      <c r="D968" s="33"/>
      <c r="E968" s="33"/>
      <c r="F968" s="33"/>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32"/>
      <c r="C969" s="33"/>
      <c r="D969" s="33"/>
      <c r="E969" s="33"/>
      <c r="F969" s="33"/>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32"/>
      <c r="C970" s="33"/>
      <c r="D970" s="33"/>
      <c r="E970" s="33"/>
      <c r="F970" s="33"/>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32"/>
      <c r="C971" s="33"/>
      <c r="D971" s="33"/>
      <c r="E971" s="33"/>
      <c r="F971" s="33"/>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32"/>
      <c r="C972" s="33"/>
      <c r="D972" s="33"/>
      <c r="E972" s="33"/>
      <c r="F972" s="33"/>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32"/>
      <c r="C973" s="33"/>
      <c r="D973" s="33"/>
      <c r="E973" s="33"/>
      <c r="F973" s="33"/>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32"/>
      <c r="C974" s="33"/>
      <c r="D974" s="33"/>
      <c r="E974" s="33"/>
      <c r="F974" s="33"/>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32"/>
      <c r="C975" s="33"/>
      <c r="D975" s="33"/>
      <c r="E975" s="33"/>
      <c r="F975" s="33"/>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32"/>
      <c r="C976" s="33"/>
      <c r="D976" s="33"/>
      <c r="E976" s="33"/>
      <c r="F976" s="33"/>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32"/>
      <c r="C977" s="33"/>
      <c r="D977" s="33"/>
      <c r="E977" s="33"/>
      <c r="F977" s="33"/>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32"/>
      <c r="C978" s="33"/>
      <c r="D978" s="33"/>
      <c r="E978" s="33"/>
      <c r="F978" s="33"/>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32"/>
      <c r="C979" s="33"/>
      <c r="D979" s="33"/>
      <c r="E979" s="33"/>
      <c r="F979" s="33"/>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32"/>
      <c r="C980" s="33"/>
      <c r="D980" s="33"/>
      <c r="E980" s="33"/>
      <c r="F980" s="33"/>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32"/>
      <c r="C981" s="33"/>
      <c r="D981" s="33"/>
      <c r="E981" s="33"/>
      <c r="F981" s="33"/>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32"/>
      <c r="C982" s="33"/>
      <c r="D982" s="33"/>
      <c r="E982" s="33"/>
      <c r="F982" s="33"/>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32"/>
      <c r="C983" s="33"/>
      <c r="D983" s="33"/>
      <c r="E983" s="33"/>
      <c r="F983" s="33"/>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32"/>
      <c r="C984" s="33"/>
      <c r="D984" s="33"/>
      <c r="E984" s="33"/>
      <c r="F984" s="33"/>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32"/>
      <c r="C985" s="33"/>
      <c r="D985" s="33"/>
      <c r="E985" s="33"/>
      <c r="F985" s="33"/>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32"/>
      <c r="C986" s="33"/>
      <c r="D986" s="33"/>
      <c r="E986" s="33"/>
      <c r="F986" s="33"/>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32"/>
      <c r="C987" s="33"/>
      <c r="D987" s="33"/>
      <c r="E987" s="33"/>
      <c r="F987" s="33"/>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32"/>
      <c r="C988" s="33"/>
      <c r="D988" s="33"/>
      <c r="E988" s="33"/>
      <c r="F988" s="33"/>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32"/>
      <c r="C989" s="33"/>
      <c r="D989" s="33"/>
      <c r="E989" s="33"/>
      <c r="F989" s="33"/>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32"/>
      <c r="C990" s="33"/>
      <c r="D990" s="33"/>
      <c r="E990" s="33"/>
      <c r="F990" s="33"/>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32"/>
      <c r="C991" s="33"/>
      <c r="D991" s="33"/>
      <c r="E991" s="33"/>
      <c r="F991" s="33"/>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32"/>
      <c r="C992" s="33"/>
      <c r="D992" s="33"/>
      <c r="E992" s="33"/>
      <c r="F992" s="33"/>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32"/>
      <c r="C993" s="33"/>
      <c r="D993" s="33"/>
      <c r="E993" s="33"/>
      <c r="F993" s="33"/>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32"/>
      <c r="C994" s="33"/>
      <c r="D994" s="33"/>
      <c r="E994" s="33"/>
      <c r="F994" s="33"/>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32"/>
      <c r="C995" s="33"/>
      <c r="D995" s="33"/>
      <c r="E995" s="33"/>
      <c r="F995" s="33"/>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32"/>
      <c r="C996" s="33"/>
      <c r="D996" s="33"/>
      <c r="E996" s="33"/>
      <c r="F996" s="33"/>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32"/>
      <c r="C997" s="33"/>
      <c r="D997" s="33"/>
      <c r="E997" s="33"/>
      <c r="F997" s="33"/>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32"/>
      <c r="C998" s="33"/>
      <c r="D998" s="33"/>
      <c r="E998" s="33"/>
      <c r="F998" s="33"/>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32"/>
      <c r="C999" s="33"/>
      <c r="D999" s="33"/>
      <c r="E999" s="33"/>
      <c r="F999" s="33"/>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32"/>
      <c r="C1000" s="33"/>
      <c r="D1000" s="33"/>
      <c r="E1000" s="33"/>
      <c r="F1000" s="33"/>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hyperlinks>
    <hyperlink ref="D9" location="Authentication!A1" display="Authentication" xr:uid="{00000000-0004-0000-0100-000000000000}"/>
    <hyperlink ref="D10" location="'Workflow of Student'!A1" display="Workflow of Student" xr:uid="{00000000-0004-0000-0100-000001000000}"/>
    <hyperlink ref="D11" location="'Workflow of Lecturer'!A1" display="Workflow of Lecturer" xr:uid="{00000000-0004-0000-0100-000002000000}"/>
    <hyperlink ref="D12" location="'Workflow of System Moderator'!A1" display="Workflow of System Moderator" xr:uid="{00000000-0004-0000-0100-000003000000}"/>
    <hyperlink ref="D13" location="'Workflow of Content Morderator'!A1" display="Workflow of Content Morderator" xr:uid="{00000000-0004-0000-0100-000004000000}"/>
    <hyperlink ref="D14" location="'Workflow of Admin'!A1" display="Workflow of Admin" xr:uid="{00000000-0004-0000-0100-000005000000}"/>
    <hyperlink ref="D15" location="'AI Assistant'!A1" display="AI Assistant" xr:uid="{00000000-0004-0000-0100-000006000000}"/>
  </hyperlinks>
  <pageMargins left="0.74791666666666667" right="0.74791666666666667" top="0.98402777777777783" bottom="1.1506944444444445" header="0" footer="0"/>
  <pageSetup paperSize="9"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5"/>
  <sheetViews>
    <sheetView workbookViewId="0"/>
  </sheetViews>
  <sheetFormatPr defaultColWidth="12.6640625" defaultRowHeight="15" customHeight="1"/>
  <cols>
    <col min="1" max="1" width="4.44140625" customWidth="1"/>
    <col min="2" max="2" width="18.33203125" customWidth="1"/>
    <col min="3" max="3" width="24.77734375" customWidth="1"/>
    <col min="4" max="6" width="11.6640625" customWidth="1"/>
    <col min="7" max="7" width="9" customWidth="1"/>
    <col min="8" max="8" width="35.44140625" customWidth="1"/>
    <col min="9" max="26" width="9" customWidth="1"/>
  </cols>
  <sheetData>
    <row r="1" spans="1:26" ht="25.5" customHeight="1">
      <c r="A1" s="7"/>
      <c r="B1" s="190" t="s">
        <v>39</v>
      </c>
      <c r="C1" s="191"/>
      <c r="D1" s="191"/>
      <c r="E1" s="191"/>
      <c r="F1" s="191"/>
      <c r="G1" s="191"/>
      <c r="H1" s="192"/>
      <c r="I1" s="7"/>
      <c r="J1" s="7"/>
      <c r="K1" s="7"/>
      <c r="L1" s="7"/>
      <c r="M1" s="7"/>
      <c r="N1" s="7"/>
      <c r="O1" s="7"/>
      <c r="P1" s="7"/>
      <c r="Q1" s="7"/>
      <c r="R1" s="7"/>
      <c r="S1" s="7"/>
      <c r="T1" s="7"/>
      <c r="U1" s="7"/>
      <c r="V1" s="7"/>
      <c r="W1" s="7"/>
      <c r="X1" s="7"/>
      <c r="Y1" s="7"/>
      <c r="Z1" s="7"/>
    </row>
    <row r="2" spans="1:26" ht="14.25" customHeight="1">
      <c r="A2" s="61"/>
      <c r="B2" s="61"/>
      <c r="C2" s="7"/>
      <c r="D2" s="7"/>
      <c r="E2" s="7"/>
      <c r="F2" s="7"/>
      <c r="G2" s="7"/>
      <c r="H2" s="62"/>
      <c r="I2" s="7"/>
      <c r="J2" s="7"/>
      <c r="K2" s="7"/>
      <c r="L2" s="7"/>
      <c r="M2" s="7"/>
      <c r="N2" s="7"/>
      <c r="O2" s="7"/>
      <c r="P2" s="7"/>
      <c r="Q2" s="7"/>
      <c r="R2" s="7"/>
      <c r="S2" s="7"/>
      <c r="T2" s="7"/>
      <c r="U2" s="7"/>
      <c r="V2" s="7"/>
      <c r="W2" s="7"/>
      <c r="X2" s="7"/>
      <c r="Y2" s="7"/>
      <c r="Z2" s="7"/>
    </row>
    <row r="3" spans="1:26" ht="12" customHeight="1">
      <c r="A3" s="7"/>
      <c r="B3" s="63" t="s">
        <v>1</v>
      </c>
      <c r="C3" s="187" t="s">
        <v>2</v>
      </c>
      <c r="D3" s="179"/>
      <c r="E3" s="188" t="s">
        <v>3</v>
      </c>
      <c r="F3" s="179"/>
      <c r="G3" s="64"/>
      <c r="H3" s="65" t="s">
        <v>4</v>
      </c>
      <c r="I3" s="7"/>
      <c r="J3" s="7"/>
      <c r="K3" s="7"/>
      <c r="L3" s="7"/>
      <c r="M3" s="7"/>
      <c r="N3" s="7"/>
      <c r="O3" s="7"/>
      <c r="P3" s="7"/>
      <c r="Q3" s="7"/>
      <c r="R3" s="7"/>
      <c r="S3" s="7"/>
      <c r="T3" s="7"/>
      <c r="U3" s="7"/>
      <c r="V3" s="7"/>
      <c r="W3" s="7"/>
      <c r="X3" s="7"/>
      <c r="Y3" s="7"/>
      <c r="Z3" s="7"/>
    </row>
    <row r="4" spans="1:26" ht="12" customHeight="1">
      <c r="A4" s="7"/>
      <c r="B4" s="63" t="s">
        <v>5</v>
      </c>
      <c r="C4" s="187" t="s">
        <v>6</v>
      </c>
      <c r="D4" s="179"/>
      <c r="E4" s="188" t="s">
        <v>40</v>
      </c>
      <c r="F4" s="179"/>
      <c r="G4" s="64"/>
      <c r="H4" s="65"/>
      <c r="I4" s="7"/>
      <c r="J4" s="7"/>
      <c r="K4" s="7"/>
      <c r="L4" s="7"/>
      <c r="M4" s="7"/>
      <c r="N4" s="7"/>
      <c r="O4" s="7"/>
      <c r="P4" s="7"/>
      <c r="Q4" s="7"/>
      <c r="R4" s="7"/>
      <c r="S4" s="7"/>
      <c r="T4" s="7"/>
      <c r="U4" s="7"/>
      <c r="V4" s="7"/>
      <c r="W4" s="7"/>
      <c r="X4" s="7"/>
      <c r="Y4" s="7"/>
      <c r="Z4" s="7"/>
    </row>
    <row r="5" spans="1:26" ht="12" customHeight="1">
      <c r="A5" s="7"/>
      <c r="B5" s="66" t="s">
        <v>8</v>
      </c>
      <c r="C5" s="187" t="str">
        <f>C4&amp;"_"&amp;"System_Test_Report"&amp;""</f>
        <v>OLP-SkillUp_System_Test_Report</v>
      </c>
      <c r="D5" s="179"/>
      <c r="E5" s="188" t="s">
        <v>7</v>
      </c>
      <c r="F5" s="179"/>
      <c r="G5" s="64"/>
      <c r="H5" s="67">
        <v>45998</v>
      </c>
      <c r="I5" s="7"/>
      <c r="J5" s="7"/>
      <c r="K5" s="7"/>
      <c r="L5" s="7"/>
      <c r="M5" s="7"/>
      <c r="N5" s="7"/>
      <c r="O5" s="7"/>
      <c r="P5" s="7"/>
      <c r="Q5" s="7"/>
      <c r="R5" s="7"/>
      <c r="S5" s="7"/>
      <c r="T5" s="7"/>
      <c r="U5" s="7"/>
      <c r="V5" s="7"/>
      <c r="W5" s="7"/>
      <c r="X5" s="7"/>
      <c r="Y5" s="7"/>
      <c r="Z5" s="7"/>
    </row>
    <row r="6" spans="1:26" ht="21.75" customHeight="1">
      <c r="A6" s="61"/>
      <c r="B6" s="66" t="s">
        <v>41</v>
      </c>
      <c r="C6" s="189"/>
      <c r="D6" s="178"/>
      <c r="E6" s="178"/>
      <c r="F6" s="178"/>
      <c r="G6" s="178"/>
      <c r="H6" s="179"/>
      <c r="I6" s="7"/>
      <c r="J6" s="7"/>
      <c r="K6" s="7"/>
      <c r="L6" s="7"/>
      <c r="M6" s="7"/>
      <c r="N6" s="7"/>
      <c r="O6" s="7"/>
      <c r="P6" s="7"/>
      <c r="Q6" s="7"/>
      <c r="R6" s="7"/>
      <c r="S6" s="7"/>
      <c r="T6" s="7"/>
      <c r="U6" s="7"/>
      <c r="V6" s="7"/>
      <c r="W6" s="7"/>
      <c r="X6" s="7"/>
      <c r="Y6" s="7"/>
      <c r="Z6" s="7"/>
    </row>
    <row r="7" spans="1:26" ht="14.25" customHeight="1">
      <c r="A7" s="61"/>
      <c r="B7" s="68"/>
      <c r="C7" s="69"/>
      <c r="D7" s="7"/>
      <c r="E7" s="7"/>
      <c r="F7" s="7"/>
      <c r="G7" s="7"/>
      <c r="H7" s="62"/>
      <c r="I7" s="7"/>
      <c r="J7" s="7"/>
      <c r="K7" s="7"/>
      <c r="L7" s="7"/>
      <c r="M7" s="7"/>
      <c r="N7" s="7"/>
      <c r="O7" s="7"/>
      <c r="P7" s="7"/>
      <c r="Q7" s="7"/>
      <c r="R7" s="7"/>
      <c r="S7" s="7"/>
      <c r="T7" s="7"/>
      <c r="U7" s="7"/>
      <c r="V7" s="7"/>
      <c r="W7" s="7"/>
      <c r="X7" s="7"/>
      <c r="Y7" s="7"/>
      <c r="Z7" s="7"/>
    </row>
    <row r="8" spans="1:26" ht="12.75" customHeight="1">
      <c r="A8" s="7"/>
      <c r="B8" s="68"/>
      <c r="C8" s="69"/>
      <c r="D8" s="7"/>
      <c r="E8" s="7"/>
      <c r="F8" s="7"/>
      <c r="G8" s="7"/>
      <c r="H8" s="62"/>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2.75" customHeight="1">
      <c r="A10" s="70"/>
      <c r="B10" s="71" t="s">
        <v>27</v>
      </c>
      <c r="C10" s="72" t="s">
        <v>42</v>
      </c>
      <c r="D10" s="73" t="s">
        <v>43</v>
      </c>
      <c r="E10" s="72" t="s">
        <v>44</v>
      </c>
      <c r="F10" s="72" t="s">
        <v>45</v>
      </c>
      <c r="G10" s="74" t="s">
        <v>46</v>
      </c>
      <c r="H10" s="75" t="s">
        <v>47</v>
      </c>
      <c r="I10" s="7"/>
      <c r="J10" s="7"/>
      <c r="K10" s="7"/>
      <c r="L10" s="7"/>
      <c r="M10" s="7"/>
      <c r="N10" s="7"/>
      <c r="O10" s="7"/>
      <c r="P10" s="7"/>
      <c r="Q10" s="7"/>
      <c r="R10" s="7"/>
      <c r="S10" s="7"/>
      <c r="T10" s="7"/>
      <c r="U10" s="7"/>
      <c r="V10" s="7"/>
      <c r="W10" s="7"/>
      <c r="X10" s="7"/>
      <c r="Y10" s="7"/>
      <c r="Z10" s="7"/>
    </row>
    <row r="11" spans="1:26" ht="12.75" customHeight="1">
      <c r="A11" s="70"/>
      <c r="B11" s="76">
        <v>1</v>
      </c>
      <c r="C11" s="77" t="str">
        <f>Authentication!B2</f>
        <v>Authentication</v>
      </c>
      <c r="D11" s="78">
        <f>Authentication!B8</f>
        <v>15</v>
      </c>
      <c r="E11" s="78">
        <f>Authentication!C8</f>
        <v>0</v>
      </c>
      <c r="F11" s="78">
        <f>Authentication!D6</f>
        <v>0</v>
      </c>
      <c r="G11" s="79">
        <f>Authentication!E6</f>
        <v>0</v>
      </c>
      <c r="H11" s="80">
        <f>Authentication!B4</f>
        <v>15</v>
      </c>
      <c r="I11" s="7"/>
      <c r="J11" s="7"/>
      <c r="K11" s="7"/>
      <c r="L11" s="7"/>
      <c r="M11" s="7"/>
      <c r="N11" s="7"/>
      <c r="O11" s="7"/>
      <c r="P11" s="7"/>
      <c r="Q11" s="7"/>
      <c r="R11" s="7"/>
      <c r="S11" s="7"/>
      <c r="T11" s="7"/>
      <c r="U11" s="7"/>
      <c r="V11" s="7"/>
      <c r="W11" s="7"/>
      <c r="X11" s="7"/>
      <c r="Y11" s="7"/>
      <c r="Z11" s="7"/>
    </row>
    <row r="12" spans="1:26" ht="12.75" customHeight="1">
      <c r="A12" s="70"/>
      <c r="B12" s="81">
        <v>2</v>
      </c>
      <c r="C12" s="82" t="str">
        <f>'Workflow of System Moderator'!B2</f>
        <v>Workflow of System Moderator</v>
      </c>
      <c r="D12" s="83">
        <f>'Workflow of System Moderator'!B6</f>
        <v>15</v>
      </c>
      <c r="E12" s="83">
        <f>'Workflow of System Moderator'!C6</f>
        <v>0</v>
      </c>
      <c r="F12" s="83">
        <f>'Workflow of System Moderator'!D6</f>
        <v>0</v>
      </c>
      <c r="G12" s="83">
        <f>'Workflow of System Moderator'!E6</f>
        <v>0</v>
      </c>
      <c r="H12" s="84">
        <f>'Workflow of System Moderator'!B4</f>
        <v>15</v>
      </c>
      <c r="I12" s="7"/>
      <c r="J12" s="7"/>
      <c r="K12" s="7"/>
      <c r="L12" s="7"/>
      <c r="M12" s="7"/>
      <c r="N12" s="7"/>
      <c r="O12" s="7"/>
      <c r="P12" s="7"/>
      <c r="Q12" s="7"/>
      <c r="R12" s="7"/>
      <c r="S12" s="7"/>
      <c r="T12" s="7"/>
      <c r="U12" s="7"/>
      <c r="V12" s="7"/>
      <c r="W12" s="7"/>
      <c r="X12" s="7"/>
      <c r="Y12" s="7"/>
      <c r="Z12" s="7"/>
    </row>
    <row r="13" spans="1:26" ht="12.75" customHeight="1">
      <c r="A13" s="70"/>
      <c r="B13" s="81">
        <v>3</v>
      </c>
      <c r="C13" s="82" t="str">
        <f>'Workflow of Content Morderator'!B2</f>
        <v>Workflow of Content Moderator</v>
      </c>
      <c r="D13" s="83">
        <f>'Workflow of Content Morderator'!B6</f>
        <v>32</v>
      </c>
      <c r="E13" s="83">
        <f>'Workflow of Content Morderator'!C6</f>
        <v>0</v>
      </c>
      <c r="F13" s="83">
        <f>'Workflow of Content Morderator'!D6</f>
        <v>0</v>
      </c>
      <c r="G13" s="83">
        <f>'Workflow of Content Morderator'!E6</f>
        <v>0</v>
      </c>
      <c r="H13" s="84">
        <f>'Workflow of Content Morderator'!B4</f>
        <v>32</v>
      </c>
      <c r="I13" s="85"/>
      <c r="J13" s="7"/>
      <c r="K13" s="7"/>
      <c r="L13" s="7"/>
      <c r="M13" s="7"/>
      <c r="N13" s="7"/>
      <c r="O13" s="7"/>
      <c r="P13" s="7"/>
      <c r="Q13" s="7"/>
      <c r="R13" s="7"/>
      <c r="S13" s="7"/>
      <c r="T13" s="7"/>
      <c r="U13" s="7"/>
      <c r="V13" s="7"/>
      <c r="W13" s="7"/>
      <c r="X13" s="7"/>
      <c r="Y13" s="7"/>
      <c r="Z13" s="7"/>
    </row>
    <row r="14" spans="1:26" ht="12.75" customHeight="1">
      <c r="A14" s="70"/>
      <c r="B14" s="81">
        <v>4</v>
      </c>
      <c r="C14" s="82" t="str">
        <f>'Workflow of Lecturer'!B2</f>
        <v>Workflow of Lecturer</v>
      </c>
      <c r="D14" s="83">
        <f>'Workflow of Lecturer'!B6</f>
        <v>63</v>
      </c>
      <c r="E14" s="83">
        <f>'Workflow of Lecturer'!C6</f>
        <v>0</v>
      </c>
      <c r="F14" s="83">
        <f>'Workflow of Lecturer'!D6</f>
        <v>0</v>
      </c>
      <c r="G14" s="86">
        <f>'Workflow of Lecturer'!E6</f>
        <v>0</v>
      </c>
      <c r="H14" s="84">
        <f>'Workflow of Lecturer'!B4</f>
        <v>63</v>
      </c>
      <c r="I14" s="85"/>
      <c r="J14" s="7"/>
      <c r="K14" s="7"/>
      <c r="L14" s="7"/>
      <c r="M14" s="7"/>
      <c r="N14" s="7"/>
      <c r="O14" s="7"/>
      <c r="P14" s="7"/>
      <c r="Q14" s="7"/>
      <c r="R14" s="7"/>
      <c r="S14" s="7"/>
      <c r="T14" s="7"/>
      <c r="U14" s="7"/>
      <c r="V14" s="7"/>
      <c r="W14" s="7"/>
      <c r="X14" s="7"/>
      <c r="Y14" s="7"/>
      <c r="Z14" s="7"/>
    </row>
    <row r="15" spans="1:26" ht="12.75" customHeight="1">
      <c r="A15" s="70"/>
      <c r="B15" s="81">
        <v>5</v>
      </c>
      <c r="C15" s="82" t="str">
        <f>'Workflow of Student'!B2</f>
        <v>Workflow of Student</v>
      </c>
      <c r="D15" s="83">
        <f>'Workflow of Student'!B6</f>
        <v>33</v>
      </c>
      <c r="E15" s="83">
        <f>'Workflow of Student'!C6</f>
        <v>0</v>
      </c>
      <c r="F15" s="83">
        <f>'Workflow of Student'!D6</f>
        <v>0</v>
      </c>
      <c r="G15" s="86">
        <f>'Workflow of Student'!E6</f>
        <v>0</v>
      </c>
      <c r="H15" s="84">
        <f>'Workflow of Student'!B4</f>
        <v>33</v>
      </c>
      <c r="I15" s="85"/>
      <c r="J15" s="7"/>
      <c r="K15" s="7"/>
      <c r="L15" s="7"/>
      <c r="M15" s="7"/>
      <c r="N15" s="7"/>
      <c r="O15" s="7"/>
      <c r="P15" s="7"/>
      <c r="Q15" s="7"/>
      <c r="R15" s="7"/>
      <c r="S15" s="7"/>
      <c r="T15" s="7"/>
      <c r="U15" s="7"/>
      <c r="V15" s="7"/>
      <c r="W15" s="7"/>
      <c r="X15" s="7"/>
      <c r="Y15" s="7"/>
      <c r="Z15" s="7"/>
    </row>
    <row r="16" spans="1:26" ht="12.75" customHeight="1">
      <c r="A16" s="70"/>
      <c r="B16" s="81">
        <v>6</v>
      </c>
      <c r="C16" s="82" t="str">
        <f>'Workflow of Admin'!B2</f>
        <v>Workflow of Admin</v>
      </c>
      <c r="D16" s="83">
        <f>'Workflow of Admin'!B6</f>
        <v>16</v>
      </c>
      <c r="E16" s="83">
        <f>'Workflow of Admin'!C6</f>
        <v>0</v>
      </c>
      <c r="F16" s="83">
        <f>'Workflow of Admin'!D6</f>
        <v>0</v>
      </c>
      <c r="G16" s="86">
        <f>'Workflow of Admin'!E6</f>
        <v>0</v>
      </c>
      <c r="H16" s="84">
        <f>'Workflow of Admin'!B4</f>
        <v>16</v>
      </c>
      <c r="I16" s="7"/>
      <c r="J16" s="7"/>
      <c r="K16" s="7"/>
      <c r="L16" s="7"/>
      <c r="M16" s="7"/>
      <c r="N16" s="7"/>
      <c r="O16" s="7"/>
      <c r="P16" s="7"/>
      <c r="Q16" s="7"/>
      <c r="R16" s="7"/>
      <c r="S16" s="7"/>
      <c r="T16" s="7"/>
      <c r="U16" s="7"/>
      <c r="V16" s="7"/>
      <c r="W16" s="7"/>
      <c r="X16" s="7"/>
      <c r="Y16" s="7"/>
      <c r="Z16" s="7"/>
    </row>
    <row r="17" spans="1:26" ht="12.75" customHeight="1">
      <c r="A17" s="70"/>
      <c r="B17" s="87">
        <v>7</v>
      </c>
      <c r="C17" s="88" t="str">
        <f>'AI Assistant'!B2</f>
        <v>AI assistant</v>
      </c>
      <c r="D17" s="89">
        <f>'AI Assistant'!B6</f>
        <v>5</v>
      </c>
      <c r="E17" s="89">
        <f>'AI Assistant'!C6</f>
        <v>0</v>
      </c>
      <c r="F17" s="89">
        <f>'AI Assistant'!D6</f>
        <v>0</v>
      </c>
      <c r="G17" s="90">
        <f>'AI Assistant'!E6</f>
        <v>0</v>
      </c>
      <c r="H17" s="91">
        <f>'AI Assistant'!B4</f>
        <v>5</v>
      </c>
      <c r="I17" s="7"/>
      <c r="J17" s="7"/>
      <c r="K17" s="7"/>
      <c r="L17" s="7"/>
      <c r="M17" s="7"/>
      <c r="N17" s="7"/>
      <c r="O17" s="7"/>
      <c r="P17" s="7"/>
      <c r="Q17" s="7"/>
      <c r="R17" s="7"/>
      <c r="S17" s="7"/>
      <c r="T17" s="7"/>
      <c r="U17" s="7"/>
      <c r="V17" s="7"/>
      <c r="W17" s="7"/>
      <c r="X17" s="7"/>
      <c r="Y17" s="7"/>
      <c r="Z17" s="7"/>
    </row>
    <row r="18" spans="1:26" ht="12.75" customHeight="1">
      <c r="A18" s="70"/>
      <c r="B18" s="87"/>
      <c r="C18" s="88"/>
      <c r="D18" s="89"/>
      <c r="E18" s="89"/>
      <c r="F18" s="89"/>
      <c r="G18" s="90"/>
      <c r="H18" s="91"/>
      <c r="I18" s="7"/>
      <c r="J18" s="7"/>
      <c r="K18" s="7"/>
      <c r="L18" s="7"/>
      <c r="M18" s="7"/>
      <c r="N18" s="7"/>
      <c r="O18" s="7"/>
      <c r="P18" s="7"/>
      <c r="Q18" s="7"/>
      <c r="R18" s="7"/>
      <c r="S18" s="7"/>
      <c r="T18" s="7"/>
      <c r="U18" s="7"/>
      <c r="V18" s="7"/>
      <c r="W18" s="7"/>
      <c r="X18" s="7"/>
      <c r="Y18" s="7"/>
      <c r="Z18" s="7"/>
    </row>
    <row r="19" spans="1:26" ht="12.75" customHeight="1">
      <c r="A19" s="70"/>
      <c r="B19" s="92"/>
      <c r="C19" s="93" t="s">
        <v>48</v>
      </c>
      <c r="D19" s="94">
        <f t="shared" ref="D19:H19" si="0">SUM(D9:D16)</f>
        <v>174</v>
      </c>
      <c r="E19" s="94">
        <f t="shared" si="0"/>
        <v>0</v>
      </c>
      <c r="F19" s="94">
        <f t="shared" si="0"/>
        <v>0</v>
      </c>
      <c r="G19" s="94">
        <f t="shared" si="0"/>
        <v>0</v>
      </c>
      <c r="H19" s="95">
        <f t="shared" si="0"/>
        <v>174</v>
      </c>
      <c r="I19" s="7"/>
      <c r="J19" s="7"/>
      <c r="K19" s="7"/>
      <c r="L19" s="7"/>
      <c r="M19" s="7"/>
      <c r="N19" s="7"/>
      <c r="O19" s="7"/>
      <c r="P19" s="7"/>
      <c r="Q19" s="7"/>
      <c r="R19" s="7"/>
      <c r="S19" s="7"/>
      <c r="T19" s="7"/>
      <c r="U19" s="7"/>
      <c r="V19" s="7"/>
      <c r="W19" s="7"/>
      <c r="X19" s="7"/>
      <c r="Y19" s="7"/>
      <c r="Z19" s="7"/>
    </row>
    <row r="20" spans="1:26" ht="12.75" customHeight="1">
      <c r="A20" s="7"/>
      <c r="B20" s="96"/>
      <c r="C20" s="7"/>
      <c r="D20" s="97"/>
      <c r="E20" s="98"/>
      <c r="F20" s="98"/>
      <c r="G20" s="98"/>
      <c r="H20" s="98"/>
      <c r="I20" s="7"/>
      <c r="J20" s="7"/>
      <c r="K20" s="7"/>
      <c r="L20" s="7"/>
      <c r="M20" s="7"/>
      <c r="N20" s="7"/>
      <c r="O20" s="7"/>
      <c r="P20" s="7"/>
      <c r="Q20" s="7"/>
      <c r="R20" s="7"/>
      <c r="S20" s="7"/>
      <c r="T20" s="7"/>
      <c r="U20" s="7"/>
      <c r="V20" s="7"/>
      <c r="W20" s="7"/>
      <c r="X20" s="7"/>
      <c r="Y20" s="7"/>
      <c r="Z20" s="7"/>
    </row>
    <row r="21" spans="1:26" ht="12.75" customHeight="1">
      <c r="A21" s="7"/>
      <c r="B21" s="7"/>
      <c r="C21" s="5" t="s">
        <v>49</v>
      </c>
      <c r="D21" s="7"/>
      <c r="E21" s="99">
        <f>(D19+E19)*100/(H19-G19)</f>
        <v>100</v>
      </c>
      <c r="F21" s="7" t="s">
        <v>50</v>
      </c>
      <c r="G21" s="7"/>
      <c r="H21" s="100"/>
      <c r="I21" s="7"/>
      <c r="J21" s="7"/>
      <c r="K21" s="7"/>
      <c r="L21" s="7"/>
      <c r="M21" s="7"/>
      <c r="N21" s="7"/>
      <c r="O21" s="7"/>
      <c r="P21" s="7"/>
      <c r="Q21" s="7"/>
      <c r="R21" s="7"/>
      <c r="S21" s="7"/>
      <c r="T21" s="7"/>
      <c r="U21" s="7"/>
      <c r="V21" s="7"/>
      <c r="W21" s="7"/>
      <c r="X21" s="7"/>
      <c r="Y21" s="7"/>
      <c r="Z21" s="7"/>
    </row>
    <row r="22" spans="1:26" ht="12.75" customHeight="1">
      <c r="A22" s="7"/>
      <c r="B22" s="7"/>
      <c r="C22" s="5" t="s">
        <v>51</v>
      </c>
      <c r="D22" s="7"/>
      <c r="E22" s="99">
        <f>D19*100/(H19-G19)</f>
        <v>100</v>
      </c>
      <c r="F22" s="7" t="s">
        <v>50</v>
      </c>
      <c r="G22" s="7"/>
      <c r="H22" s="100"/>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8">
    <mergeCell ref="C5:D5"/>
    <mergeCell ref="E5:F5"/>
    <mergeCell ref="C6:H6"/>
    <mergeCell ref="B1:H1"/>
    <mergeCell ref="C3:D3"/>
    <mergeCell ref="E3:F3"/>
    <mergeCell ref="C4:D4"/>
    <mergeCell ref="E4:F4"/>
  </mergeCells>
  <pageMargins left="0.74791666666666667" right="0.74791666666666667" top="0.98402777777777783" bottom="0.98402777777777772" header="0" footer="0"/>
  <pageSetup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0"/>
  <sheetViews>
    <sheetView topLeftCell="C12" workbookViewId="0">
      <selection activeCell="G17" sqref="G17"/>
    </sheetView>
  </sheetViews>
  <sheetFormatPr defaultColWidth="12.6640625" defaultRowHeight="15" customHeight="1" outlineLevelRow="1" outlineLevelCol="1"/>
  <cols>
    <col min="1" max="1" width="17" customWidth="1"/>
    <col min="2" max="2" width="34.44140625" customWidth="1"/>
    <col min="3" max="3" width="37.33203125" customWidth="1"/>
    <col min="4" max="4" width="34.6640625" customWidth="1"/>
    <col min="5" max="5" width="28.33203125" customWidth="1"/>
    <col min="6" max="6" width="9.33203125" customWidth="1"/>
    <col min="7" max="7" width="10.6640625" customWidth="1" outlineLevel="1"/>
    <col min="8" max="8" width="7" customWidth="1" outlineLevel="1"/>
    <col min="9" max="9" width="9.33203125" customWidth="1"/>
    <col min="10" max="10" width="10.6640625" customWidth="1" outlineLevel="1"/>
    <col min="11" max="11" width="7" customWidth="1" outlineLevel="1"/>
    <col min="12" max="12" width="9.33203125" customWidth="1"/>
    <col min="13" max="13" width="10.66406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3" t="s">
        <v>32</v>
      </c>
      <c r="C2" s="194"/>
      <c r="D2" s="194"/>
      <c r="E2" s="195"/>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6" t="s">
        <v>54</v>
      </c>
      <c r="C3" s="178"/>
      <c r="D3" s="178"/>
      <c r="E3" s="197"/>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6">
        <v>15</v>
      </c>
      <c r="C4" s="178"/>
      <c r="D4" s="178"/>
      <c r="E4" s="197"/>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COUNTIF($F10:$F1008,B5)</f>
        <v>14</v>
      </c>
      <c r="C6" s="114">
        <f t="shared" si="0"/>
        <v>1</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C7" si="1">COUNTIF($I10:$I1008,B5)</f>
        <v>15</v>
      </c>
      <c r="C7" s="114">
        <f t="shared" si="1"/>
        <v>0</v>
      </c>
      <c r="D7" s="114">
        <f t="shared" ref="D7:E7" si="2">COUNTIF($F10:$F1008,D5)</f>
        <v>0</v>
      </c>
      <c r="E7" s="115">
        <f t="shared" si="2"/>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C8" si="3">COUNTIF($L10:$L1008,B5)</f>
        <v>15</v>
      </c>
      <c r="C8" s="118">
        <f t="shared" si="3"/>
        <v>0</v>
      </c>
      <c r="D8" s="118">
        <f t="shared" ref="D8:E8" si="4">COUNTIF($F10:$F1008,D5)</f>
        <v>0</v>
      </c>
      <c r="E8" s="119">
        <f t="shared" si="4"/>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68</v>
      </c>
      <c r="B11" s="122"/>
      <c r="C11" s="123"/>
      <c r="D11" s="123"/>
      <c r="E11" s="123"/>
      <c r="F11" s="123"/>
      <c r="G11" s="123"/>
      <c r="H11" s="123"/>
      <c r="I11" s="123"/>
      <c r="J11" s="123"/>
      <c r="K11" s="123"/>
      <c r="L11" s="123"/>
      <c r="M11" s="123"/>
      <c r="N11" s="123"/>
      <c r="O11" s="124"/>
      <c r="P11" s="106"/>
      <c r="Q11" s="125"/>
      <c r="R11" s="106"/>
      <c r="S11" s="106"/>
      <c r="T11" s="106"/>
      <c r="U11" s="106"/>
      <c r="V11" s="106"/>
      <c r="W11" s="106"/>
      <c r="X11" s="106"/>
      <c r="Y11" s="106"/>
      <c r="Z11" s="106"/>
    </row>
    <row r="12" spans="1:26" ht="193.5" customHeight="1" outlineLevel="1">
      <c r="A12" s="126" t="s">
        <v>69</v>
      </c>
      <c r="B12" s="126" t="s">
        <v>70</v>
      </c>
      <c r="C12" s="126" t="s">
        <v>71</v>
      </c>
      <c r="D12" s="127" t="s">
        <v>72</v>
      </c>
      <c r="E12" s="127" t="s">
        <v>73</v>
      </c>
      <c r="F12" s="126" t="s">
        <v>43</v>
      </c>
      <c r="G12" s="128">
        <v>45998</v>
      </c>
      <c r="H12" s="126" t="s">
        <v>4</v>
      </c>
      <c r="I12" s="126" t="s">
        <v>43</v>
      </c>
      <c r="J12" s="128">
        <v>46001</v>
      </c>
      <c r="K12" s="126" t="s">
        <v>4</v>
      </c>
      <c r="L12" s="126" t="s">
        <v>43</v>
      </c>
      <c r="M12" s="128">
        <v>46003</v>
      </c>
      <c r="N12" s="126" t="s">
        <v>4</v>
      </c>
      <c r="O12" s="126"/>
      <c r="P12" s="129"/>
      <c r="Q12" s="130"/>
      <c r="R12" s="129"/>
      <c r="S12" s="129"/>
      <c r="T12" s="129"/>
      <c r="U12" s="129"/>
      <c r="V12" s="129"/>
      <c r="W12" s="129"/>
      <c r="X12" s="129"/>
      <c r="Y12" s="129"/>
      <c r="Z12" s="129"/>
    </row>
    <row r="13" spans="1:26" ht="12.75" customHeight="1" outlineLevel="1">
      <c r="A13" s="126" t="s">
        <v>74</v>
      </c>
      <c r="B13" s="126" t="s">
        <v>70</v>
      </c>
      <c r="C13" s="126" t="s">
        <v>75</v>
      </c>
      <c r="D13" s="131" t="s">
        <v>76</v>
      </c>
      <c r="E13" s="127" t="s">
        <v>73</v>
      </c>
      <c r="F13" s="126" t="s">
        <v>43</v>
      </c>
      <c r="G13" s="128">
        <v>45998</v>
      </c>
      <c r="H13" s="126" t="s">
        <v>4</v>
      </c>
      <c r="I13" s="126" t="s">
        <v>43</v>
      </c>
      <c r="J13" s="128">
        <v>46001</v>
      </c>
      <c r="K13" s="126" t="s">
        <v>4</v>
      </c>
      <c r="L13" s="126" t="s">
        <v>43</v>
      </c>
      <c r="M13" s="128">
        <v>46003</v>
      </c>
      <c r="N13" s="126" t="s">
        <v>4</v>
      </c>
      <c r="O13" s="126"/>
      <c r="P13" s="7"/>
      <c r="Q13" s="130"/>
      <c r="R13" s="7"/>
      <c r="S13" s="7"/>
      <c r="T13" s="7"/>
      <c r="U13" s="7"/>
      <c r="V13" s="7"/>
      <c r="W13" s="7"/>
      <c r="X13" s="7"/>
      <c r="Y13" s="7"/>
      <c r="Z13" s="7"/>
    </row>
    <row r="14" spans="1:26" ht="12.75" customHeight="1" outlineLevel="1">
      <c r="A14" s="126" t="s">
        <v>77</v>
      </c>
      <c r="B14" s="126" t="s">
        <v>70</v>
      </c>
      <c r="C14" s="126" t="s">
        <v>78</v>
      </c>
      <c r="D14" s="131" t="s">
        <v>76</v>
      </c>
      <c r="E14" s="127" t="s">
        <v>73</v>
      </c>
      <c r="F14" s="126" t="s">
        <v>43</v>
      </c>
      <c r="G14" s="128">
        <v>45998</v>
      </c>
      <c r="H14" s="126" t="s">
        <v>4</v>
      </c>
      <c r="I14" s="126" t="s">
        <v>43</v>
      </c>
      <c r="J14" s="128">
        <v>46001</v>
      </c>
      <c r="K14" s="126" t="s">
        <v>4</v>
      </c>
      <c r="L14" s="126" t="s">
        <v>43</v>
      </c>
      <c r="M14" s="128">
        <v>46003</v>
      </c>
      <c r="N14" s="126" t="s">
        <v>4</v>
      </c>
      <c r="O14" s="126"/>
      <c r="P14" s="7"/>
      <c r="Q14" s="130"/>
      <c r="R14" s="7"/>
      <c r="S14" s="7"/>
      <c r="T14" s="7"/>
      <c r="U14" s="7"/>
      <c r="V14" s="7"/>
      <c r="W14" s="7"/>
      <c r="X14" s="7"/>
      <c r="Y14" s="7"/>
      <c r="Z14" s="7"/>
    </row>
    <row r="15" spans="1:26" ht="12.75" customHeight="1" outlineLevel="1">
      <c r="A15" s="126" t="s">
        <v>79</v>
      </c>
      <c r="B15" s="126" t="s">
        <v>80</v>
      </c>
      <c r="C15" s="126" t="s">
        <v>81</v>
      </c>
      <c r="D15" s="132" t="s">
        <v>82</v>
      </c>
      <c r="E15" s="127" t="s">
        <v>73</v>
      </c>
      <c r="F15" s="126" t="s">
        <v>43</v>
      </c>
      <c r="G15" s="128">
        <v>45998</v>
      </c>
      <c r="H15" s="126" t="s">
        <v>4</v>
      </c>
      <c r="I15" s="126" t="s">
        <v>43</v>
      </c>
      <c r="J15" s="128">
        <v>46001</v>
      </c>
      <c r="K15" s="126" t="s">
        <v>4</v>
      </c>
      <c r="L15" s="126" t="s">
        <v>43</v>
      </c>
      <c r="M15" s="128">
        <v>46003</v>
      </c>
      <c r="N15" s="126" t="s">
        <v>4</v>
      </c>
      <c r="O15" s="126"/>
      <c r="P15" s="85"/>
      <c r="Q15" s="130"/>
      <c r="R15" s="7"/>
      <c r="S15" s="7"/>
      <c r="T15" s="7"/>
      <c r="U15" s="7"/>
      <c r="V15" s="7"/>
      <c r="W15" s="7"/>
      <c r="X15" s="7"/>
      <c r="Y15" s="7"/>
      <c r="Z15" s="7"/>
    </row>
    <row r="16" spans="1:26" ht="12.75" customHeight="1" outlineLevel="1">
      <c r="A16" s="133" t="s">
        <v>83</v>
      </c>
      <c r="B16" s="126" t="s">
        <v>70</v>
      </c>
      <c r="C16" s="126" t="s">
        <v>84</v>
      </c>
      <c r="D16" s="132" t="s">
        <v>85</v>
      </c>
      <c r="E16" s="127" t="s">
        <v>73</v>
      </c>
      <c r="F16" s="126" t="s">
        <v>43</v>
      </c>
      <c r="G16" s="128">
        <v>45998</v>
      </c>
      <c r="H16" s="126" t="s">
        <v>4</v>
      </c>
      <c r="I16" s="126" t="s">
        <v>43</v>
      </c>
      <c r="J16" s="128">
        <v>46001</v>
      </c>
      <c r="K16" s="126" t="s">
        <v>4</v>
      </c>
      <c r="L16" s="126" t="s">
        <v>43</v>
      </c>
      <c r="M16" s="128">
        <v>46003</v>
      </c>
      <c r="N16" s="126" t="s">
        <v>4</v>
      </c>
      <c r="O16" s="126"/>
      <c r="P16" s="85"/>
      <c r="Q16" s="130"/>
      <c r="R16" s="7"/>
      <c r="S16" s="7"/>
      <c r="T16" s="7"/>
      <c r="U16" s="7"/>
      <c r="V16" s="7"/>
      <c r="W16" s="7"/>
      <c r="X16" s="7"/>
      <c r="Y16" s="7"/>
      <c r="Z16" s="7"/>
    </row>
    <row r="17" spans="1:26" ht="12.75" customHeight="1" outlineLevel="1">
      <c r="A17" s="133" t="s">
        <v>86</v>
      </c>
      <c r="B17" s="126" t="s">
        <v>70</v>
      </c>
      <c r="C17" s="126" t="s">
        <v>87</v>
      </c>
      <c r="D17" s="132" t="s">
        <v>88</v>
      </c>
      <c r="E17" s="127" t="s">
        <v>73</v>
      </c>
      <c r="F17" s="126" t="s">
        <v>43</v>
      </c>
      <c r="G17" s="128">
        <v>45998</v>
      </c>
      <c r="H17" s="126" t="s">
        <v>4</v>
      </c>
      <c r="I17" s="126" t="s">
        <v>43</v>
      </c>
      <c r="J17" s="128">
        <v>46001</v>
      </c>
      <c r="K17" s="126" t="s">
        <v>4</v>
      </c>
      <c r="L17" s="126" t="s">
        <v>43</v>
      </c>
      <c r="M17" s="128">
        <v>46003</v>
      </c>
      <c r="N17" s="126" t="s">
        <v>4</v>
      </c>
      <c r="O17" s="126"/>
      <c r="P17" s="85"/>
      <c r="Q17" s="130"/>
      <c r="R17" s="7"/>
      <c r="S17" s="7"/>
      <c r="T17" s="7"/>
      <c r="U17" s="7"/>
      <c r="V17" s="7"/>
      <c r="W17" s="7"/>
      <c r="X17" s="7"/>
      <c r="Y17" s="7"/>
      <c r="Z17" s="7"/>
    </row>
    <row r="18" spans="1:26" ht="15.75" customHeight="1">
      <c r="A18" s="122" t="s">
        <v>89</v>
      </c>
      <c r="B18" s="134"/>
      <c r="C18" s="135"/>
      <c r="D18" s="135"/>
      <c r="E18" s="135"/>
      <c r="F18" s="135"/>
      <c r="G18" s="135"/>
      <c r="H18" s="135"/>
      <c r="I18" s="135"/>
      <c r="J18" s="135"/>
      <c r="K18" s="135"/>
      <c r="L18" s="135"/>
      <c r="M18" s="135"/>
      <c r="N18" s="135"/>
      <c r="O18" s="136"/>
      <c r="P18" s="106"/>
      <c r="Q18" s="125"/>
      <c r="R18" s="106"/>
      <c r="S18" s="106"/>
      <c r="T18" s="106"/>
      <c r="U18" s="106"/>
      <c r="V18" s="106"/>
      <c r="W18" s="106"/>
      <c r="X18" s="106"/>
      <c r="Y18" s="106"/>
      <c r="Z18" s="106"/>
    </row>
    <row r="19" spans="1:26" ht="12.75" customHeight="1" outlineLevel="1">
      <c r="A19" s="126" t="s">
        <v>90</v>
      </c>
      <c r="B19" s="126" t="s">
        <v>91</v>
      </c>
      <c r="C19" s="126" t="s">
        <v>92</v>
      </c>
      <c r="D19" s="137" t="s">
        <v>93</v>
      </c>
      <c r="E19" s="127" t="s">
        <v>73</v>
      </c>
      <c r="F19" s="126" t="s">
        <v>43</v>
      </c>
      <c r="G19" s="128">
        <v>45998</v>
      </c>
      <c r="H19" s="126" t="s">
        <v>4</v>
      </c>
      <c r="I19" s="126" t="s">
        <v>43</v>
      </c>
      <c r="J19" s="128">
        <v>46001</v>
      </c>
      <c r="K19" s="126" t="s">
        <v>4</v>
      </c>
      <c r="L19" s="126" t="s">
        <v>43</v>
      </c>
      <c r="M19" s="128">
        <v>46003</v>
      </c>
      <c r="N19" s="126" t="s">
        <v>4</v>
      </c>
      <c r="O19" s="126"/>
      <c r="P19" s="7"/>
      <c r="Q19" s="130"/>
      <c r="R19" s="7"/>
      <c r="S19" s="7"/>
      <c r="T19" s="7"/>
      <c r="U19" s="7"/>
      <c r="V19" s="7"/>
      <c r="W19" s="7"/>
      <c r="X19" s="7"/>
      <c r="Y19" s="7"/>
      <c r="Z19" s="7"/>
    </row>
    <row r="20" spans="1:26" ht="12.75" customHeight="1" outlineLevel="1">
      <c r="A20" s="126" t="s">
        <v>94</v>
      </c>
      <c r="B20" s="126" t="s">
        <v>95</v>
      </c>
      <c r="C20" s="126" t="s">
        <v>96</v>
      </c>
      <c r="D20" s="137" t="s">
        <v>97</v>
      </c>
      <c r="E20" s="127" t="s">
        <v>73</v>
      </c>
      <c r="F20" s="126" t="s">
        <v>43</v>
      </c>
      <c r="G20" s="128">
        <v>45998</v>
      </c>
      <c r="H20" s="126" t="s">
        <v>4</v>
      </c>
      <c r="I20" s="126" t="s">
        <v>43</v>
      </c>
      <c r="J20" s="128">
        <v>46001</v>
      </c>
      <c r="K20" s="126" t="s">
        <v>4</v>
      </c>
      <c r="L20" s="126" t="s">
        <v>43</v>
      </c>
      <c r="M20" s="128">
        <v>46003</v>
      </c>
      <c r="N20" s="126" t="s">
        <v>4</v>
      </c>
      <c r="O20" s="138"/>
      <c r="P20" s="7"/>
      <c r="Q20" s="101"/>
      <c r="R20" s="7"/>
      <c r="S20" s="7"/>
      <c r="T20" s="7"/>
      <c r="U20" s="7"/>
      <c r="V20" s="7"/>
      <c r="W20" s="7"/>
      <c r="X20" s="7"/>
      <c r="Y20" s="7"/>
      <c r="Z20" s="7"/>
    </row>
    <row r="21" spans="1:26" ht="12.75" customHeight="1" outlineLevel="1">
      <c r="A21" s="126" t="s">
        <v>98</v>
      </c>
      <c r="B21" s="139" t="s">
        <v>99</v>
      </c>
      <c r="C21" s="126" t="s">
        <v>100</v>
      </c>
      <c r="D21" s="137" t="s">
        <v>97</v>
      </c>
      <c r="E21" s="127" t="s">
        <v>73</v>
      </c>
      <c r="F21" s="126" t="s">
        <v>43</v>
      </c>
      <c r="G21" s="128">
        <v>45998</v>
      </c>
      <c r="H21" s="126" t="s">
        <v>4</v>
      </c>
      <c r="I21" s="126" t="s">
        <v>43</v>
      </c>
      <c r="J21" s="128">
        <v>46001</v>
      </c>
      <c r="K21" s="126" t="s">
        <v>4</v>
      </c>
      <c r="L21" s="126" t="s">
        <v>43</v>
      </c>
      <c r="M21" s="128">
        <v>46003</v>
      </c>
      <c r="N21" s="126" t="s">
        <v>4</v>
      </c>
      <c r="O21" s="138"/>
      <c r="P21" s="7"/>
      <c r="Q21" s="101"/>
      <c r="R21" s="7"/>
      <c r="S21" s="7"/>
      <c r="T21" s="7"/>
      <c r="U21" s="7"/>
      <c r="V21" s="7"/>
      <c r="W21" s="7"/>
      <c r="X21" s="7"/>
      <c r="Y21" s="7"/>
      <c r="Z21" s="7"/>
    </row>
    <row r="22" spans="1:26" ht="15.75" customHeight="1">
      <c r="A22" s="122" t="s">
        <v>101</v>
      </c>
      <c r="B22" s="134"/>
      <c r="C22" s="135"/>
      <c r="D22" s="135"/>
      <c r="E22" s="135"/>
      <c r="F22" s="135"/>
      <c r="G22" s="135"/>
      <c r="H22" s="135"/>
      <c r="I22" s="135"/>
      <c r="J22" s="135"/>
      <c r="K22" s="135"/>
      <c r="L22" s="135"/>
      <c r="M22" s="135"/>
      <c r="N22" s="135"/>
      <c r="O22" s="136"/>
      <c r="P22" s="106"/>
      <c r="Q22" s="125"/>
      <c r="R22" s="106"/>
      <c r="S22" s="106"/>
      <c r="T22" s="106"/>
      <c r="U22" s="106"/>
      <c r="V22" s="106"/>
      <c r="W22" s="106"/>
      <c r="X22" s="106"/>
      <c r="Y22" s="106"/>
      <c r="Z22" s="106"/>
    </row>
    <row r="23" spans="1:26" ht="12.75" customHeight="1" outlineLevel="1">
      <c r="A23" s="126" t="s">
        <v>102</v>
      </c>
      <c r="B23" s="126" t="s">
        <v>103</v>
      </c>
      <c r="C23" s="126" t="s">
        <v>104</v>
      </c>
      <c r="D23" s="137" t="s">
        <v>105</v>
      </c>
      <c r="E23" s="140" t="s">
        <v>106</v>
      </c>
      <c r="F23" s="126" t="s">
        <v>43</v>
      </c>
      <c r="G23" s="128">
        <v>45998</v>
      </c>
      <c r="H23" s="126" t="s">
        <v>4</v>
      </c>
      <c r="I23" s="126" t="s">
        <v>43</v>
      </c>
      <c r="J23" s="128">
        <v>46001</v>
      </c>
      <c r="K23" s="126" t="s">
        <v>4</v>
      </c>
      <c r="L23" s="126" t="s">
        <v>43</v>
      </c>
      <c r="M23" s="128">
        <v>46003</v>
      </c>
      <c r="N23" s="126" t="s">
        <v>4</v>
      </c>
      <c r="O23" s="138"/>
      <c r="P23" s="7"/>
      <c r="Q23" s="101"/>
      <c r="R23" s="7"/>
      <c r="S23" s="7"/>
      <c r="T23" s="7"/>
      <c r="U23" s="7"/>
      <c r="V23" s="7"/>
      <c r="W23" s="7"/>
      <c r="X23" s="7"/>
      <c r="Y23" s="7"/>
      <c r="Z23" s="7"/>
    </row>
    <row r="24" spans="1:26" ht="15.75" customHeight="1">
      <c r="A24" s="122" t="s">
        <v>107</v>
      </c>
      <c r="B24" s="134"/>
      <c r="C24" s="135"/>
      <c r="D24" s="135"/>
      <c r="E24" s="135"/>
      <c r="F24" s="135"/>
      <c r="G24" s="135"/>
      <c r="H24" s="135"/>
      <c r="I24" s="135"/>
      <c r="J24" s="135"/>
      <c r="K24" s="135"/>
      <c r="L24" s="135"/>
      <c r="M24" s="135"/>
      <c r="N24" s="135"/>
      <c r="O24" s="136"/>
      <c r="P24" s="106"/>
      <c r="Q24" s="125"/>
      <c r="R24" s="106"/>
      <c r="S24" s="106"/>
      <c r="T24" s="106"/>
      <c r="U24" s="106"/>
      <c r="V24" s="106"/>
      <c r="W24" s="106"/>
      <c r="X24" s="106"/>
      <c r="Y24" s="106"/>
      <c r="Z24" s="106"/>
    </row>
    <row r="25" spans="1:26" ht="12.75" customHeight="1" outlineLevel="1">
      <c r="A25" s="126" t="s">
        <v>108</v>
      </c>
      <c r="B25" s="139" t="s">
        <v>109</v>
      </c>
      <c r="C25" s="126" t="s">
        <v>110</v>
      </c>
      <c r="D25" s="137" t="s">
        <v>111</v>
      </c>
      <c r="E25" s="140" t="s">
        <v>106</v>
      </c>
      <c r="F25" s="126" t="s">
        <v>43</v>
      </c>
      <c r="G25" s="128">
        <v>45998</v>
      </c>
      <c r="H25" s="126" t="s">
        <v>4</v>
      </c>
      <c r="I25" s="126" t="s">
        <v>43</v>
      </c>
      <c r="J25" s="128">
        <v>46001</v>
      </c>
      <c r="K25" s="126" t="s">
        <v>4</v>
      </c>
      <c r="L25" s="126" t="s">
        <v>43</v>
      </c>
      <c r="M25" s="128">
        <v>46003</v>
      </c>
      <c r="N25" s="126" t="s">
        <v>4</v>
      </c>
      <c r="O25" s="138"/>
      <c r="P25" s="7"/>
      <c r="Q25" s="101"/>
      <c r="R25" s="7"/>
      <c r="S25" s="7"/>
      <c r="T25" s="7"/>
      <c r="U25" s="7"/>
      <c r="V25" s="7"/>
      <c r="W25" s="7"/>
      <c r="X25" s="7"/>
      <c r="Y25" s="7"/>
      <c r="Z25" s="7"/>
    </row>
    <row r="26" spans="1:26" ht="12.75" customHeight="1" outlineLevel="1">
      <c r="A26" s="126" t="s">
        <v>112</v>
      </c>
      <c r="B26" s="141" t="s">
        <v>113</v>
      </c>
      <c r="C26" s="126" t="s">
        <v>114</v>
      </c>
      <c r="D26" s="137" t="s">
        <v>115</v>
      </c>
      <c r="E26" s="140" t="s">
        <v>106</v>
      </c>
      <c r="F26" s="126" t="s">
        <v>43</v>
      </c>
      <c r="G26" s="128">
        <v>45998</v>
      </c>
      <c r="H26" s="126" t="s">
        <v>4</v>
      </c>
      <c r="I26" s="126" t="s">
        <v>43</v>
      </c>
      <c r="J26" s="128">
        <v>46001</v>
      </c>
      <c r="K26" s="126" t="s">
        <v>4</v>
      </c>
      <c r="L26" s="126" t="s">
        <v>43</v>
      </c>
      <c r="M26" s="128">
        <v>46003</v>
      </c>
      <c r="N26" s="126" t="s">
        <v>4</v>
      </c>
      <c r="O26" s="138"/>
      <c r="P26" s="7"/>
      <c r="Q26" s="101"/>
      <c r="R26" s="7"/>
      <c r="S26" s="7"/>
      <c r="T26" s="7"/>
      <c r="U26" s="7"/>
      <c r="V26" s="7"/>
      <c r="W26" s="7"/>
      <c r="X26" s="7"/>
      <c r="Y26" s="7"/>
      <c r="Z26" s="7"/>
    </row>
    <row r="27" spans="1:26" ht="15.75" customHeight="1">
      <c r="A27" s="122" t="s">
        <v>116</v>
      </c>
      <c r="B27" s="134"/>
      <c r="C27" s="135"/>
      <c r="D27" s="135"/>
      <c r="E27" s="135"/>
      <c r="F27" s="135"/>
      <c r="G27" s="135"/>
      <c r="H27" s="135"/>
      <c r="I27" s="135"/>
      <c r="J27" s="135"/>
      <c r="K27" s="135"/>
      <c r="L27" s="135"/>
      <c r="M27" s="135"/>
      <c r="N27" s="135"/>
      <c r="O27" s="136"/>
      <c r="P27" s="106"/>
      <c r="Q27" s="125"/>
      <c r="R27" s="106"/>
      <c r="S27" s="106"/>
      <c r="T27" s="106"/>
      <c r="U27" s="106"/>
      <c r="V27" s="106"/>
      <c r="W27" s="106"/>
      <c r="X27" s="106"/>
      <c r="Y27" s="106"/>
      <c r="Z27" s="106"/>
    </row>
    <row r="28" spans="1:26" ht="12.75" customHeight="1" outlineLevel="1">
      <c r="A28" s="126" t="s">
        <v>117</v>
      </c>
      <c r="B28" s="132" t="s">
        <v>118</v>
      </c>
      <c r="C28" s="126" t="s">
        <v>119</v>
      </c>
      <c r="D28" s="126" t="s">
        <v>120</v>
      </c>
      <c r="E28" s="140" t="s">
        <v>106</v>
      </c>
      <c r="F28" s="126" t="s">
        <v>43</v>
      </c>
      <c r="G28" s="128">
        <v>45998</v>
      </c>
      <c r="H28" s="126" t="s">
        <v>4</v>
      </c>
      <c r="I28" s="126" t="s">
        <v>43</v>
      </c>
      <c r="J28" s="128">
        <v>46001</v>
      </c>
      <c r="K28" s="126" t="s">
        <v>4</v>
      </c>
      <c r="L28" s="126" t="s">
        <v>43</v>
      </c>
      <c r="M28" s="128">
        <v>46003</v>
      </c>
      <c r="N28" s="126" t="s">
        <v>4</v>
      </c>
      <c r="O28" s="138"/>
      <c r="P28" s="7"/>
      <c r="Q28" s="101"/>
      <c r="R28" s="7"/>
      <c r="S28" s="7"/>
      <c r="T28" s="7"/>
      <c r="U28" s="7"/>
      <c r="V28" s="7"/>
      <c r="W28" s="7"/>
      <c r="X28" s="7"/>
      <c r="Y28" s="7"/>
      <c r="Z28" s="7"/>
    </row>
    <row r="29" spans="1:26" ht="12.75" customHeight="1" outlineLevel="1">
      <c r="A29" s="126" t="s">
        <v>121</v>
      </c>
      <c r="B29" s="139" t="s">
        <v>122</v>
      </c>
      <c r="C29" s="126" t="s">
        <v>123</v>
      </c>
      <c r="D29" s="139" t="s">
        <v>124</v>
      </c>
      <c r="E29" s="140" t="s">
        <v>106</v>
      </c>
      <c r="F29" s="126" t="s">
        <v>44</v>
      </c>
      <c r="G29" s="128">
        <v>45998</v>
      </c>
      <c r="H29" s="126" t="s">
        <v>4</v>
      </c>
      <c r="I29" s="126" t="s">
        <v>43</v>
      </c>
      <c r="J29" s="128">
        <v>46001</v>
      </c>
      <c r="K29" s="126" t="s">
        <v>4</v>
      </c>
      <c r="L29" s="126" t="s">
        <v>43</v>
      </c>
      <c r="M29" s="128">
        <v>46003</v>
      </c>
      <c r="N29" s="126" t="s">
        <v>4</v>
      </c>
      <c r="O29" s="126" t="s">
        <v>125</v>
      </c>
      <c r="P29" s="7"/>
      <c r="Q29" s="101"/>
      <c r="R29" s="7"/>
      <c r="S29" s="7"/>
      <c r="T29" s="7"/>
      <c r="U29" s="7"/>
      <c r="V29" s="7"/>
      <c r="W29" s="7"/>
      <c r="X29" s="7"/>
      <c r="Y29" s="7"/>
      <c r="Z29" s="7"/>
    </row>
    <row r="30" spans="1:26" ht="12.75" customHeight="1" outlineLevel="1">
      <c r="A30" s="126" t="s">
        <v>126</v>
      </c>
      <c r="B30" s="139" t="s">
        <v>127</v>
      </c>
      <c r="C30" s="126" t="s">
        <v>128</v>
      </c>
      <c r="D30" s="139" t="s">
        <v>129</v>
      </c>
      <c r="E30" s="140" t="s">
        <v>106</v>
      </c>
      <c r="F30" s="126" t="s">
        <v>43</v>
      </c>
      <c r="G30" s="128">
        <v>45998</v>
      </c>
      <c r="H30" s="126" t="s">
        <v>4</v>
      </c>
      <c r="I30" s="126" t="s">
        <v>43</v>
      </c>
      <c r="J30" s="128">
        <v>46001</v>
      </c>
      <c r="K30" s="126" t="s">
        <v>4</v>
      </c>
      <c r="L30" s="126" t="s">
        <v>43</v>
      </c>
      <c r="M30" s="128">
        <v>46003</v>
      </c>
      <c r="N30" s="126" t="s">
        <v>4</v>
      </c>
      <c r="O30" s="138"/>
      <c r="P30" s="85"/>
      <c r="Q30" s="101"/>
      <c r="R30" s="7"/>
      <c r="S30" s="7"/>
      <c r="T30" s="7"/>
      <c r="U30" s="7"/>
      <c r="V30" s="7"/>
      <c r="W30" s="7"/>
      <c r="X30" s="7"/>
      <c r="Y30" s="7"/>
      <c r="Z30" s="7"/>
    </row>
    <row r="31" spans="1:26" ht="12.75" customHeight="1">
      <c r="A31" s="40"/>
      <c r="B31" s="40"/>
      <c r="C31" s="40"/>
      <c r="D31" s="40"/>
      <c r="E31" s="40"/>
      <c r="F31" s="40"/>
      <c r="G31" s="40"/>
      <c r="H31" s="40"/>
      <c r="I31" s="40"/>
      <c r="J31" s="40"/>
      <c r="K31" s="40"/>
      <c r="L31" s="40"/>
      <c r="M31" s="40"/>
      <c r="N31" s="40"/>
      <c r="O31" s="40"/>
      <c r="P31" s="7"/>
      <c r="Q31" s="101"/>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101"/>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101"/>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101"/>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101"/>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101"/>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101"/>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101"/>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101"/>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01"/>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01"/>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01"/>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01"/>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01"/>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row r="1010" spans="1:26" ht="12.75" customHeight="1">
      <c r="A1010" s="7"/>
      <c r="B1010" s="7"/>
      <c r="C1010" s="7"/>
      <c r="D1010" s="7"/>
      <c r="E1010" s="7"/>
      <c r="F1010" s="7"/>
      <c r="G1010" s="7"/>
      <c r="H1010" s="7"/>
      <c r="I1010" s="7"/>
      <c r="J1010" s="7"/>
      <c r="K1010" s="7"/>
      <c r="L1010" s="7"/>
      <c r="M1010" s="7"/>
      <c r="N1010" s="7"/>
      <c r="O1010" s="7"/>
      <c r="P1010" s="7"/>
      <c r="Q1010" s="101"/>
      <c r="R1010" s="7"/>
      <c r="S1010" s="7"/>
      <c r="T1010" s="7"/>
      <c r="U1010" s="7"/>
      <c r="V1010" s="7"/>
      <c r="W1010" s="7"/>
      <c r="X1010" s="7"/>
      <c r="Y1010" s="7"/>
      <c r="Z1010" s="7"/>
    </row>
  </sheetData>
  <mergeCells count="3">
    <mergeCell ref="B2:E2"/>
    <mergeCell ref="B3:E3"/>
    <mergeCell ref="B4:E4"/>
  </mergeCells>
  <dataValidations count="1">
    <dataValidation type="list" allowBlank="1" showErrorMessage="1" sqref="G2:G3 J2:J3 M2:M3 G9 J9 M9 F12:F30 I12:I30 L12:L30 G31:G157 J31:J157 M31:M157" xr:uid="{00000000-0002-0000-0300-000000000000}">
      <formula1>$R$2:$R$5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27"/>
  <sheetViews>
    <sheetView topLeftCell="A22" workbookViewId="0"/>
  </sheetViews>
  <sheetFormatPr defaultColWidth="12.6640625" defaultRowHeight="15" customHeight="1" outlineLevelRow="1" outlineLevelCol="1"/>
  <cols>
    <col min="1" max="1" width="17" customWidth="1"/>
    <col min="2" max="2" width="34.44140625" customWidth="1"/>
    <col min="3" max="3" width="34.109375" customWidth="1"/>
    <col min="4" max="4" width="34.6640625" customWidth="1"/>
    <col min="5" max="5" width="28.33203125" customWidth="1"/>
    <col min="6" max="6" width="9.33203125" customWidth="1"/>
    <col min="7" max="7" width="10.6640625" customWidth="1" outlineLevel="1"/>
    <col min="8" max="8" width="7.44140625" customWidth="1" outlineLevel="1"/>
    <col min="9" max="9" width="9.33203125" customWidth="1"/>
    <col min="10" max="10" width="10.6640625" customWidth="1" outlineLevel="1"/>
    <col min="11" max="11" width="7" customWidth="1" outlineLevel="1"/>
    <col min="12" max="12" width="9.33203125" customWidth="1"/>
    <col min="13" max="13" width="10.66406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3" t="s">
        <v>33</v>
      </c>
      <c r="C2" s="194"/>
      <c r="D2" s="194"/>
      <c r="E2" s="195"/>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6" t="s">
        <v>130</v>
      </c>
      <c r="C3" s="178"/>
      <c r="D3" s="178"/>
      <c r="E3" s="197"/>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6">
        <v>33</v>
      </c>
      <c r="C4" s="178"/>
      <c r="D4" s="178"/>
      <c r="E4" s="197"/>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COUNTIF($F10:$F1025,B5)</f>
        <v>33</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COUNTIF($F10:$F1025,B5)</f>
        <v>33</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COUNTIF($F10:$F1025,B5)</f>
        <v>33</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131</v>
      </c>
      <c r="B11" s="134"/>
      <c r="C11" s="135"/>
      <c r="D11" s="135"/>
      <c r="E11" s="135"/>
      <c r="F11" s="135"/>
      <c r="G11" s="135"/>
      <c r="H11" s="135"/>
      <c r="I11" s="135"/>
      <c r="J11" s="135"/>
      <c r="K11" s="135"/>
      <c r="L11" s="135"/>
      <c r="M11" s="135"/>
      <c r="N11" s="135"/>
      <c r="O11" s="136"/>
      <c r="P11" s="106"/>
      <c r="Q11" s="125"/>
      <c r="R11" s="106"/>
      <c r="S11" s="106"/>
      <c r="T11" s="106"/>
      <c r="U11" s="106"/>
      <c r="V11" s="106"/>
      <c r="W11" s="106"/>
      <c r="X11" s="106"/>
      <c r="Y11" s="106"/>
      <c r="Z11" s="106"/>
    </row>
    <row r="12" spans="1:26" ht="12.75" customHeight="1" outlineLevel="1">
      <c r="A12" s="126" t="s">
        <v>132</v>
      </c>
      <c r="B12" s="126" t="s">
        <v>133</v>
      </c>
      <c r="C12" s="126" t="s">
        <v>134</v>
      </c>
      <c r="D12" s="126" t="s">
        <v>135</v>
      </c>
      <c r="E12" s="126" t="s">
        <v>136</v>
      </c>
      <c r="F12" s="126" t="s">
        <v>43</v>
      </c>
      <c r="G12" s="128">
        <v>45998</v>
      </c>
      <c r="H12" s="126" t="s">
        <v>4</v>
      </c>
      <c r="I12" s="126" t="s">
        <v>43</v>
      </c>
      <c r="J12" s="128">
        <v>46001</v>
      </c>
      <c r="K12" s="126" t="s">
        <v>4</v>
      </c>
      <c r="L12" s="126" t="s">
        <v>43</v>
      </c>
      <c r="M12" s="128">
        <v>46003</v>
      </c>
      <c r="N12" s="126" t="s">
        <v>4</v>
      </c>
      <c r="O12" s="126"/>
      <c r="P12" s="7"/>
      <c r="Q12" s="130"/>
      <c r="R12" s="7"/>
      <c r="S12" s="7"/>
      <c r="T12" s="7"/>
      <c r="U12" s="7"/>
      <c r="V12" s="7"/>
      <c r="W12" s="7"/>
      <c r="X12" s="7"/>
      <c r="Y12" s="7"/>
      <c r="Z12" s="7"/>
    </row>
    <row r="13" spans="1:26" ht="12.75" customHeight="1" outlineLevel="1">
      <c r="A13" s="126" t="s">
        <v>137</v>
      </c>
      <c r="B13" s="126" t="s">
        <v>138</v>
      </c>
      <c r="C13" s="126" t="s">
        <v>139</v>
      </c>
      <c r="D13" s="126" t="s">
        <v>140</v>
      </c>
      <c r="E13" s="126" t="s">
        <v>136</v>
      </c>
      <c r="F13" s="126" t="s">
        <v>43</v>
      </c>
      <c r="G13" s="128">
        <v>45998</v>
      </c>
      <c r="H13" s="126" t="s">
        <v>4</v>
      </c>
      <c r="I13" s="126" t="s">
        <v>43</v>
      </c>
      <c r="J13" s="128">
        <v>46001</v>
      </c>
      <c r="K13" s="126" t="s">
        <v>4</v>
      </c>
      <c r="L13" s="126" t="s">
        <v>43</v>
      </c>
      <c r="M13" s="128">
        <v>46003</v>
      </c>
      <c r="N13" s="126" t="s">
        <v>4</v>
      </c>
      <c r="O13" s="138"/>
      <c r="P13" s="7"/>
      <c r="Q13" s="101"/>
      <c r="R13" s="7"/>
      <c r="S13" s="7"/>
      <c r="T13" s="7"/>
      <c r="U13" s="7"/>
      <c r="V13" s="7"/>
      <c r="W13" s="7"/>
      <c r="X13" s="7"/>
      <c r="Y13" s="7"/>
      <c r="Z13" s="7"/>
    </row>
    <row r="14" spans="1:26" ht="12.75" customHeight="1" outlineLevel="1">
      <c r="A14" s="126" t="s">
        <v>141</v>
      </c>
      <c r="B14" s="126" t="s">
        <v>142</v>
      </c>
      <c r="C14" s="126" t="s">
        <v>143</v>
      </c>
      <c r="D14" s="126" t="s">
        <v>144</v>
      </c>
      <c r="E14" s="126" t="s">
        <v>136</v>
      </c>
      <c r="F14" s="126" t="s">
        <v>43</v>
      </c>
      <c r="G14" s="128">
        <v>45998</v>
      </c>
      <c r="H14" s="126" t="s">
        <v>4</v>
      </c>
      <c r="I14" s="126" t="s">
        <v>43</v>
      </c>
      <c r="J14" s="128">
        <v>46001</v>
      </c>
      <c r="K14" s="126" t="s">
        <v>4</v>
      </c>
      <c r="L14" s="126" t="s">
        <v>43</v>
      </c>
      <c r="M14" s="128">
        <v>46003</v>
      </c>
      <c r="N14" s="126" t="s">
        <v>4</v>
      </c>
      <c r="O14" s="138"/>
      <c r="P14" s="7"/>
      <c r="Q14" s="101"/>
      <c r="R14" s="7"/>
      <c r="S14" s="7"/>
      <c r="T14" s="7"/>
      <c r="U14" s="7"/>
      <c r="V14" s="7"/>
      <c r="W14" s="7"/>
      <c r="X14" s="7"/>
      <c r="Y14" s="7"/>
      <c r="Z14" s="7"/>
    </row>
    <row r="15" spans="1:26" ht="12.75" customHeight="1" outlineLevel="1">
      <c r="A15" s="126" t="s">
        <v>145</v>
      </c>
      <c r="B15" s="126" t="s">
        <v>146</v>
      </c>
      <c r="C15" s="126" t="s">
        <v>147</v>
      </c>
      <c r="D15" s="126" t="s">
        <v>148</v>
      </c>
      <c r="E15" s="126" t="s">
        <v>136</v>
      </c>
      <c r="F15" s="126" t="s">
        <v>43</v>
      </c>
      <c r="G15" s="128">
        <v>45998</v>
      </c>
      <c r="H15" s="126" t="s">
        <v>4</v>
      </c>
      <c r="I15" s="126" t="s">
        <v>43</v>
      </c>
      <c r="J15" s="128">
        <v>46001</v>
      </c>
      <c r="K15" s="126" t="s">
        <v>4</v>
      </c>
      <c r="L15" s="126" t="s">
        <v>43</v>
      </c>
      <c r="M15" s="128">
        <v>46003</v>
      </c>
      <c r="N15" s="126" t="s">
        <v>4</v>
      </c>
      <c r="O15" s="138"/>
      <c r="P15" s="7"/>
      <c r="Q15" s="101"/>
      <c r="R15" s="7"/>
      <c r="S15" s="7"/>
      <c r="T15" s="7"/>
      <c r="U15" s="7"/>
      <c r="V15" s="7"/>
      <c r="W15" s="7"/>
      <c r="X15" s="7"/>
      <c r="Y15" s="7"/>
      <c r="Z15" s="7"/>
    </row>
    <row r="16" spans="1:26" ht="12.75" customHeight="1" outlineLevel="1">
      <c r="A16" s="126" t="s">
        <v>149</v>
      </c>
      <c r="B16" s="126" t="s">
        <v>150</v>
      </c>
      <c r="C16" s="126" t="s">
        <v>151</v>
      </c>
      <c r="D16" s="126" t="s">
        <v>148</v>
      </c>
      <c r="E16" s="126" t="s">
        <v>136</v>
      </c>
      <c r="F16" s="126" t="s">
        <v>43</v>
      </c>
      <c r="G16" s="128">
        <v>45998</v>
      </c>
      <c r="H16" s="126" t="s">
        <v>4</v>
      </c>
      <c r="I16" s="126" t="s">
        <v>43</v>
      </c>
      <c r="J16" s="128">
        <v>46001</v>
      </c>
      <c r="K16" s="126" t="s">
        <v>4</v>
      </c>
      <c r="L16" s="126" t="s">
        <v>43</v>
      </c>
      <c r="M16" s="128">
        <v>46003</v>
      </c>
      <c r="N16" s="126" t="s">
        <v>4</v>
      </c>
      <c r="O16" s="138"/>
      <c r="P16" s="7"/>
      <c r="Q16" s="101"/>
      <c r="R16" s="7"/>
      <c r="S16" s="7"/>
      <c r="T16" s="7"/>
      <c r="U16" s="7"/>
      <c r="V16" s="7"/>
      <c r="W16" s="7"/>
      <c r="X16" s="7"/>
      <c r="Y16" s="7"/>
      <c r="Z16" s="7"/>
    </row>
    <row r="17" spans="1:26" ht="12.75" customHeight="1" outlineLevel="1">
      <c r="A17" s="126" t="s">
        <v>152</v>
      </c>
      <c r="B17" s="126" t="s">
        <v>153</v>
      </c>
      <c r="C17" s="126" t="s">
        <v>154</v>
      </c>
      <c r="D17" s="126" t="s">
        <v>155</v>
      </c>
      <c r="E17" s="126" t="s">
        <v>136</v>
      </c>
      <c r="F17" s="126" t="s">
        <v>43</v>
      </c>
      <c r="G17" s="128">
        <v>45998</v>
      </c>
      <c r="H17" s="126" t="s">
        <v>4</v>
      </c>
      <c r="I17" s="126" t="s">
        <v>43</v>
      </c>
      <c r="J17" s="128">
        <v>46001</v>
      </c>
      <c r="K17" s="126" t="s">
        <v>4</v>
      </c>
      <c r="L17" s="126" t="s">
        <v>43</v>
      </c>
      <c r="M17" s="128">
        <v>46003</v>
      </c>
      <c r="N17" s="126" t="s">
        <v>4</v>
      </c>
      <c r="O17" s="138"/>
      <c r="P17" s="7"/>
      <c r="Q17" s="101"/>
      <c r="R17" s="7"/>
      <c r="S17" s="7"/>
      <c r="T17" s="7"/>
      <c r="U17" s="7"/>
      <c r="V17" s="7"/>
      <c r="W17" s="7"/>
      <c r="X17" s="7"/>
      <c r="Y17" s="7"/>
      <c r="Z17" s="7"/>
    </row>
    <row r="18" spans="1:26" ht="12.75" customHeight="1" outlineLevel="1">
      <c r="A18" s="126" t="s">
        <v>156</v>
      </c>
      <c r="B18" s="126" t="s">
        <v>153</v>
      </c>
      <c r="C18" s="126" t="s">
        <v>154</v>
      </c>
      <c r="D18" s="126" t="s">
        <v>155</v>
      </c>
      <c r="E18" s="126" t="s">
        <v>136</v>
      </c>
      <c r="F18" s="126" t="s">
        <v>43</v>
      </c>
      <c r="G18" s="128">
        <v>45998</v>
      </c>
      <c r="H18" s="126" t="s">
        <v>4</v>
      </c>
      <c r="I18" s="126" t="s">
        <v>43</v>
      </c>
      <c r="J18" s="128">
        <v>46001</v>
      </c>
      <c r="K18" s="126" t="s">
        <v>4</v>
      </c>
      <c r="L18" s="126" t="s">
        <v>43</v>
      </c>
      <c r="M18" s="128">
        <v>46003</v>
      </c>
      <c r="N18" s="126" t="s">
        <v>4</v>
      </c>
      <c r="O18" s="138"/>
      <c r="P18" s="7"/>
      <c r="Q18" s="101"/>
      <c r="R18" s="7"/>
      <c r="S18" s="7"/>
      <c r="T18" s="7"/>
      <c r="U18" s="7"/>
      <c r="V18" s="7"/>
      <c r="W18" s="7"/>
      <c r="X18" s="7"/>
      <c r="Y18" s="7"/>
      <c r="Z18" s="7"/>
    </row>
    <row r="19" spans="1:26" ht="12.75" customHeight="1" outlineLevel="1">
      <c r="A19" s="126" t="s">
        <v>157</v>
      </c>
      <c r="B19" s="126" t="s">
        <v>158</v>
      </c>
      <c r="C19" s="126" t="s">
        <v>159</v>
      </c>
      <c r="D19" s="126" t="s">
        <v>160</v>
      </c>
      <c r="E19" s="126" t="s">
        <v>161</v>
      </c>
      <c r="F19" s="126" t="s">
        <v>43</v>
      </c>
      <c r="G19" s="128">
        <v>45998</v>
      </c>
      <c r="H19" s="126" t="s">
        <v>4</v>
      </c>
      <c r="I19" s="126" t="s">
        <v>43</v>
      </c>
      <c r="J19" s="128">
        <v>46001</v>
      </c>
      <c r="K19" s="126" t="s">
        <v>4</v>
      </c>
      <c r="L19" s="126" t="s">
        <v>43</v>
      </c>
      <c r="M19" s="128">
        <v>46003</v>
      </c>
      <c r="N19" s="126" t="s">
        <v>4</v>
      </c>
      <c r="O19" s="138"/>
      <c r="P19" s="7"/>
      <c r="Q19" s="101"/>
      <c r="R19" s="7"/>
      <c r="S19" s="7"/>
      <c r="T19" s="7"/>
      <c r="U19" s="7"/>
      <c r="V19" s="7"/>
      <c r="W19" s="7"/>
      <c r="X19" s="7"/>
      <c r="Y19" s="7"/>
      <c r="Z19" s="7"/>
    </row>
    <row r="20" spans="1:26" ht="12.75" customHeight="1" outlineLevel="1">
      <c r="A20" s="126" t="s">
        <v>162</v>
      </c>
      <c r="B20" s="126" t="s">
        <v>163</v>
      </c>
      <c r="C20" s="126" t="s">
        <v>164</v>
      </c>
      <c r="D20" s="126" t="s">
        <v>165</v>
      </c>
      <c r="E20" s="126" t="s">
        <v>161</v>
      </c>
      <c r="F20" s="126" t="s">
        <v>43</v>
      </c>
      <c r="G20" s="128">
        <v>45998</v>
      </c>
      <c r="H20" s="126" t="s">
        <v>4</v>
      </c>
      <c r="I20" s="126" t="s">
        <v>43</v>
      </c>
      <c r="J20" s="128">
        <v>46001</v>
      </c>
      <c r="K20" s="126" t="s">
        <v>4</v>
      </c>
      <c r="L20" s="126" t="s">
        <v>43</v>
      </c>
      <c r="M20" s="128">
        <v>46003</v>
      </c>
      <c r="N20" s="126" t="s">
        <v>4</v>
      </c>
      <c r="O20" s="138"/>
      <c r="P20" s="7"/>
      <c r="Q20" s="101"/>
      <c r="R20" s="7"/>
      <c r="S20" s="7"/>
      <c r="T20" s="7"/>
      <c r="U20" s="7"/>
      <c r="V20" s="7"/>
      <c r="W20" s="7"/>
      <c r="X20" s="7"/>
      <c r="Y20" s="7"/>
      <c r="Z20" s="7"/>
    </row>
    <row r="21" spans="1:26" ht="12.75" customHeight="1" outlineLevel="1">
      <c r="A21" s="126" t="s">
        <v>166</v>
      </c>
      <c r="B21" s="126" t="s">
        <v>167</v>
      </c>
      <c r="C21" s="126" t="s">
        <v>168</v>
      </c>
      <c r="D21" s="126" t="s">
        <v>165</v>
      </c>
      <c r="E21" s="126" t="s">
        <v>161</v>
      </c>
      <c r="F21" s="126" t="s">
        <v>43</v>
      </c>
      <c r="G21" s="128">
        <v>45998</v>
      </c>
      <c r="H21" s="126" t="s">
        <v>4</v>
      </c>
      <c r="I21" s="126" t="s">
        <v>43</v>
      </c>
      <c r="J21" s="128">
        <v>46001</v>
      </c>
      <c r="K21" s="126" t="s">
        <v>4</v>
      </c>
      <c r="L21" s="126" t="s">
        <v>43</v>
      </c>
      <c r="M21" s="128">
        <v>46003</v>
      </c>
      <c r="N21" s="126" t="s">
        <v>4</v>
      </c>
      <c r="O21" s="138"/>
      <c r="P21" s="7"/>
      <c r="Q21" s="101"/>
      <c r="R21" s="7"/>
      <c r="S21" s="7"/>
      <c r="T21" s="7"/>
      <c r="U21" s="7"/>
      <c r="V21" s="7"/>
      <c r="W21" s="7"/>
      <c r="X21" s="7"/>
      <c r="Y21" s="7"/>
      <c r="Z21" s="7"/>
    </row>
    <row r="22" spans="1:26" ht="15.75" customHeight="1">
      <c r="A22" s="122" t="s">
        <v>169</v>
      </c>
      <c r="B22" s="134"/>
      <c r="C22" s="135"/>
      <c r="D22" s="135"/>
      <c r="E22" s="135"/>
      <c r="F22" s="135"/>
      <c r="G22" s="135"/>
      <c r="H22" s="135"/>
      <c r="I22" s="135"/>
      <c r="J22" s="135"/>
      <c r="K22" s="135"/>
      <c r="L22" s="135"/>
      <c r="M22" s="135"/>
      <c r="N22" s="135"/>
      <c r="O22" s="136"/>
      <c r="P22" s="106"/>
      <c r="Q22" s="125"/>
      <c r="R22" s="106"/>
      <c r="S22" s="106"/>
      <c r="T22" s="106"/>
      <c r="U22" s="106"/>
      <c r="V22" s="106"/>
      <c r="W22" s="106"/>
      <c r="X22" s="106"/>
      <c r="Y22" s="106"/>
      <c r="Z22" s="106"/>
    </row>
    <row r="23" spans="1:26" ht="12.75" customHeight="1" outlineLevel="1">
      <c r="A23" s="126" t="s">
        <v>170</v>
      </c>
      <c r="B23" s="126" t="s">
        <v>171</v>
      </c>
      <c r="C23" s="126" t="s">
        <v>172</v>
      </c>
      <c r="D23" s="126" t="s">
        <v>173</v>
      </c>
      <c r="E23" s="126" t="s">
        <v>174</v>
      </c>
      <c r="F23" s="126" t="s">
        <v>43</v>
      </c>
      <c r="G23" s="128">
        <v>45998</v>
      </c>
      <c r="H23" s="126" t="s">
        <v>4</v>
      </c>
      <c r="I23" s="126" t="s">
        <v>43</v>
      </c>
      <c r="J23" s="128">
        <v>46001</v>
      </c>
      <c r="K23" s="126" t="s">
        <v>4</v>
      </c>
      <c r="L23" s="126" t="s">
        <v>43</v>
      </c>
      <c r="M23" s="128">
        <v>46003</v>
      </c>
      <c r="N23" s="126" t="s">
        <v>4</v>
      </c>
      <c r="O23" s="138"/>
      <c r="P23" s="7"/>
      <c r="Q23" s="101"/>
      <c r="R23" s="7"/>
      <c r="S23" s="7"/>
      <c r="T23" s="7"/>
      <c r="U23" s="7"/>
      <c r="V23" s="7"/>
      <c r="W23" s="7"/>
      <c r="X23" s="7"/>
      <c r="Y23" s="7"/>
      <c r="Z23" s="7"/>
    </row>
    <row r="24" spans="1:26" ht="12.75" customHeight="1" outlineLevel="1">
      <c r="A24" s="126" t="s">
        <v>175</v>
      </c>
      <c r="B24" s="126" t="s">
        <v>176</v>
      </c>
      <c r="C24" s="126" t="s">
        <v>177</v>
      </c>
      <c r="D24" s="126" t="s">
        <v>178</v>
      </c>
      <c r="E24" s="126" t="s">
        <v>179</v>
      </c>
      <c r="F24" s="126" t="s">
        <v>43</v>
      </c>
      <c r="G24" s="128">
        <v>45998</v>
      </c>
      <c r="H24" s="126" t="s">
        <v>4</v>
      </c>
      <c r="I24" s="126" t="s">
        <v>43</v>
      </c>
      <c r="J24" s="128">
        <v>46001</v>
      </c>
      <c r="K24" s="126" t="s">
        <v>4</v>
      </c>
      <c r="L24" s="126" t="s">
        <v>43</v>
      </c>
      <c r="M24" s="128">
        <v>46003</v>
      </c>
      <c r="N24" s="126" t="s">
        <v>4</v>
      </c>
      <c r="O24" s="142"/>
      <c r="P24" s="143"/>
      <c r="Q24" s="143"/>
      <c r="R24" s="143"/>
      <c r="S24" s="143"/>
      <c r="T24" s="143"/>
      <c r="U24" s="143"/>
      <c r="V24" s="143"/>
      <c r="W24" s="143"/>
      <c r="X24" s="143"/>
      <c r="Y24" s="143"/>
      <c r="Z24" s="143"/>
    </row>
    <row r="25" spans="1:26" ht="12.75" customHeight="1" outlineLevel="1">
      <c r="A25" s="126" t="s">
        <v>180</v>
      </c>
      <c r="B25" s="126" t="s">
        <v>181</v>
      </c>
      <c r="C25" s="126" t="s">
        <v>182</v>
      </c>
      <c r="D25" s="126" t="s">
        <v>183</v>
      </c>
      <c r="E25" s="126" t="s">
        <v>184</v>
      </c>
      <c r="F25" s="126" t="s">
        <v>43</v>
      </c>
      <c r="G25" s="128">
        <v>45998</v>
      </c>
      <c r="H25" s="126" t="s">
        <v>4</v>
      </c>
      <c r="I25" s="126" t="s">
        <v>43</v>
      </c>
      <c r="J25" s="128">
        <v>46001</v>
      </c>
      <c r="K25" s="126" t="s">
        <v>4</v>
      </c>
      <c r="L25" s="126" t="s">
        <v>43</v>
      </c>
      <c r="M25" s="128">
        <v>46003</v>
      </c>
      <c r="N25" s="126" t="s">
        <v>4</v>
      </c>
      <c r="O25" s="142"/>
      <c r="P25" s="143"/>
      <c r="Q25" s="143"/>
      <c r="R25" s="143"/>
      <c r="S25" s="143"/>
      <c r="T25" s="143"/>
      <c r="U25" s="143"/>
      <c r="V25" s="143"/>
      <c r="W25" s="143"/>
      <c r="X25" s="143"/>
      <c r="Y25" s="143"/>
      <c r="Z25" s="143"/>
    </row>
    <row r="26" spans="1:26" ht="12.75" customHeight="1" outlineLevel="1">
      <c r="A26" s="126" t="s">
        <v>185</v>
      </c>
      <c r="B26" s="126" t="s">
        <v>186</v>
      </c>
      <c r="C26" s="126" t="s">
        <v>187</v>
      </c>
      <c r="D26" s="126" t="s">
        <v>188</v>
      </c>
      <c r="E26" s="126" t="s">
        <v>189</v>
      </c>
      <c r="F26" s="126" t="s">
        <v>43</v>
      </c>
      <c r="G26" s="128">
        <v>45998</v>
      </c>
      <c r="H26" s="126" t="s">
        <v>4</v>
      </c>
      <c r="I26" s="126" t="s">
        <v>43</v>
      </c>
      <c r="J26" s="128">
        <v>46001</v>
      </c>
      <c r="K26" s="126" t="s">
        <v>4</v>
      </c>
      <c r="L26" s="126" t="s">
        <v>43</v>
      </c>
      <c r="M26" s="128">
        <v>46003</v>
      </c>
      <c r="N26" s="126" t="s">
        <v>4</v>
      </c>
      <c r="O26" s="142"/>
      <c r="P26" s="143"/>
      <c r="Q26" s="143"/>
      <c r="R26" s="143"/>
      <c r="S26" s="143"/>
      <c r="T26" s="143"/>
      <c r="U26" s="143"/>
      <c r="V26" s="143"/>
      <c r="W26" s="143"/>
      <c r="X26" s="143"/>
      <c r="Y26" s="143"/>
      <c r="Z26" s="143"/>
    </row>
    <row r="27" spans="1:26" ht="12.75" customHeight="1" outlineLevel="1">
      <c r="A27" s="126" t="s">
        <v>190</v>
      </c>
      <c r="B27" s="126" t="s">
        <v>191</v>
      </c>
      <c r="C27" s="126" t="s">
        <v>192</v>
      </c>
      <c r="D27" s="126" t="s">
        <v>193</v>
      </c>
      <c r="E27" s="126" t="s">
        <v>194</v>
      </c>
      <c r="F27" s="126" t="s">
        <v>43</v>
      </c>
      <c r="G27" s="128">
        <v>45998</v>
      </c>
      <c r="H27" s="126" t="s">
        <v>4</v>
      </c>
      <c r="I27" s="126" t="s">
        <v>43</v>
      </c>
      <c r="J27" s="128">
        <v>46001</v>
      </c>
      <c r="K27" s="126" t="s">
        <v>4</v>
      </c>
      <c r="L27" s="126" t="s">
        <v>43</v>
      </c>
      <c r="M27" s="128">
        <v>46003</v>
      </c>
      <c r="N27" s="126" t="s">
        <v>4</v>
      </c>
      <c r="O27" s="142"/>
      <c r="P27" s="143"/>
      <c r="Q27" s="143"/>
      <c r="R27" s="143"/>
      <c r="S27" s="143"/>
      <c r="T27" s="143"/>
      <c r="U27" s="143"/>
      <c r="V27" s="143"/>
      <c r="W27" s="143"/>
      <c r="X27" s="143"/>
      <c r="Y27" s="143"/>
      <c r="Z27" s="143"/>
    </row>
    <row r="28" spans="1:26" ht="12.75" customHeight="1" outlineLevel="1">
      <c r="A28" s="126" t="s">
        <v>195</v>
      </c>
      <c r="B28" s="126" t="s">
        <v>196</v>
      </c>
      <c r="C28" s="126" t="s">
        <v>197</v>
      </c>
      <c r="D28" s="126" t="s">
        <v>198</v>
      </c>
      <c r="E28" s="126" t="s">
        <v>199</v>
      </c>
      <c r="F28" s="126" t="s">
        <v>43</v>
      </c>
      <c r="G28" s="128">
        <v>45998</v>
      </c>
      <c r="H28" s="126" t="s">
        <v>4</v>
      </c>
      <c r="I28" s="126" t="s">
        <v>43</v>
      </c>
      <c r="J28" s="128">
        <v>46001</v>
      </c>
      <c r="K28" s="126" t="s">
        <v>4</v>
      </c>
      <c r="L28" s="126" t="s">
        <v>43</v>
      </c>
      <c r="M28" s="128">
        <v>46003</v>
      </c>
      <c r="N28" s="126" t="s">
        <v>4</v>
      </c>
      <c r="O28" s="142"/>
      <c r="P28" s="143"/>
      <c r="Q28" s="143"/>
      <c r="R28" s="143"/>
      <c r="S28" s="143"/>
      <c r="T28" s="143"/>
      <c r="U28" s="143"/>
      <c r="V28" s="143"/>
      <c r="W28" s="143"/>
      <c r="X28" s="143"/>
      <c r="Y28" s="143"/>
      <c r="Z28" s="143"/>
    </row>
    <row r="29" spans="1:26" ht="12.75" customHeight="1" outlineLevel="1">
      <c r="A29" s="126" t="s">
        <v>200</v>
      </c>
      <c r="B29" s="126" t="s">
        <v>201</v>
      </c>
      <c r="C29" s="126" t="s">
        <v>202</v>
      </c>
      <c r="D29" s="126" t="s">
        <v>203</v>
      </c>
      <c r="E29" s="126" t="s">
        <v>204</v>
      </c>
      <c r="F29" s="126" t="s">
        <v>43</v>
      </c>
      <c r="G29" s="128">
        <v>45998</v>
      </c>
      <c r="H29" s="126" t="s">
        <v>4</v>
      </c>
      <c r="I29" s="126" t="s">
        <v>43</v>
      </c>
      <c r="J29" s="128">
        <v>46001</v>
      </c>
      <c r="K29" s="126" t="s">
        <v>4</v>
      </c>
      <c r="L29" s="126" t="s">
        <v>43</v>
      </c>
      <c r="M29" s="128">
        <v>46003</v>
      </c>
      <c r="N29" s="126" t="s">
        <v>4</v>
      </c>
      <c r="O29" s="142"/>
      <c r="P29" s="143"/>
      <c r="Q29" s="143"/>
      <c r="R29" s="143"/>
      <c r="S29" s="143"/>
      <c r="T29" s="143"/>
      <c r="U29" s="143"/>
      <c r="V29" s="143"/>
      <c r="W29" s="143"/>
      <c r="X29" s="143"/>
      <c r="Y29" s="143"/>
      <c r="Z29" s="143"/>
    </row>
    <row r="30" spans="1:26" ht="12.75" customHeight="1" outlineLevel="1">
      <c r="A30" s="126" t="s">
        <v>205</v>
      </c>
      <c r="B30" s="126" t="s">
        <v>206</v>
      </c>
      <c r="C30" s="126" t="s">
        <v>207</v>
      </c>
      <c r="D30" s="126" t="s">
        <v>208</v>
      </c>
      <c r="E30" s="126" t="s">
        <v>209</v>
      </c>
      <c r="F30" s="126" t="s">
        <v>43</v>
      </c>
      <c r="G30" s="128">
        <v>45998</v>
      </c>
      <c r="H30" s="126" t="s">
        <v>4</v>
      </c>
      <c r="I30" s="126" t="s">
        <v>43</v>
      </c>
      <c r="J30" s="128">
        <v>46001</v>
      </c>
      <c r="K30" s="126" t="s">
        <v>4</v>
      </c>
      <c r="L30" s="126" t="s">
        <v>43</v>
      </c>
      <c r="M30" s="128">
        <v>46003</v>
      </c>
      <c r="N30" s="126" t="s">
        <v>4</v>
      </c>
      <c r="O30" s="142"/>
      <c r="P30" s="143"/>
      <c r="Q30" s="143"/>
      <c r="R30" s="143"/>
      <c r="S30" s="143"/>
      <c r="T30" s="143"/>
      <c r="U30" s="143"/>
      <c r="V30" s="143"/>
      <c r="W30" s="143"/>
      <c r="X30" s="143"/>
      <c r="Y30" s="143"/>
      <c r="Z30" s="143"/>
    </row>
    <row r="31" spans="1:26" ht="12.75" customHeight="1" outlineLevel="1">
      <c r="A31" s="126" t="s">
        <v>210</v>
      </c>
      <c r="B31" s="126" t="s">
        <v>211</v>
      </c>
      <c r="C31" s="126" t="s">
        <v>212</v>
      </c>
      <c r="D31" s="126" t="s">
        <v>213</v>
      </c>
      <c r="E31" s="126" t="s">
        <v>214</v>
      </c>
      <c r="F31" s="126" t="s">
        <v>43</v>
      </c>
      <c r="G31" s="128">
        <v>45998</v>
      </c>
      <c r="H31" s="126" t="s">
        <v>4</v>
      </c>
      <c r="I31" s="126" t="s">
        <v>43</v>
      </c>
      <c r="J31" s="128">
        <v>46001</v>
      </c>
      <c r="K31" s="126" t="s">
        <v>4</v>
      </c>
      <c r="L31" s="126" t="s">
        <v>43</v>
      </c>
      <c r="M31" s="128">
        <v>46003</v>
      </c>
      <c r="N31" s="126" t="s">
        <v>4</v>
      </c>
      <c r="O31" s="142"/>
      <c r="P31" s="143"/>
      <c r="Q31" s="143"/>
      <c r="R31" s="143"/>
      <c r="S31" s="143"/>
      <c r="T31" s="143"/>
      <c r="U31" s="143"/>
      <c r="V31" s="143"/>
      <c r="W31" s="143"/>
      <c r="X31" s="143"/>
      <c r="Y31" s="143"/>
      <c r="Z31" s="143"/>
    </row>
    <row r="32" spans="1:26" ht="12.75" customHeight="1" outlineLevel="1">
      <c r="A32" s="126" t="s">
        <v>215</v>
      </c>
      <c r="B32" s="126" t="s">
        <v>216</v>
      </c>
      <c r="C32" s="126" t="s">
        <v>217</v>
      </c>
      <c r="D32" s="126" t="s">
        <v>218</v>
      </c>
      <c r="E32" s="126" t="s">
        <v>219</v>
      </c>
      <c r="F32" s="126" t="s">
        <v>43</v>
      </c>
      <c r="G32" s="128">
        <v>45998</v>
      </c>
      <c r="H32" s="126" t="s">
        <v>4</v>
      </c>
      <c r="I32" s="126" t="s">
        <v>43</v>
      </c>
      <c r="J32" s="128">
        <v>46001</v>
      </c>
      <c r="K32" s="126" t="s">
        <v>4</v>
      </c>
      <c r="L32" s="126" t="s">
        <v>43</v>
      </c>
      <c r="M32" s="128">
        <v>46003</v>
      </c>
      <c r="N32" s="126" t="s">
        <v>4</v>
      </c>
      <c r="O32" s="142"/>
      <c r="P32" s="143"/>
      <c r="Q32" s="143"/>
      <c r="R32" s="143"/>
      <c r="S32" s="143"/>
      <c r="T32" s="143"/>
      <c r="U32" s="143"/>
      <c r="V32" s="143"/>
      <c r="W32" s="143"/>
      <c r="X32" s="143"/>
      <c r="Y32" s="143"/>
      <c r="Z32" s="143"/>
    </row>
    <row r="33" spans="1:26" ht="15.75" customHeight="1">
      <c r="A33" s="122" t="s">
        <v>220</v>
      </c>
      <c r="B33" s="134"/>
      <c r="C33" s="135"/>
      <c r="D33" s="135"/>
      <c r="E33" s="135"/>
      <c r="F33" s="135"/>
      <c r="G33" s="135"/>
      <c r="H33" s="135"/>
      <c r="I33" s="135"/>
      <c r="J33" s="135"/>
      <c r="K33" s="135"/>
      <c r="L33" s="135"/>
      <c r="M33" s="135"/>
      <c r="N33" s="135"/>
      <c r="O33" s="136"/>
      <c r="P33" s="106"/>
      <c r="Q33" s="125"/>
      <c r="R33" s="106"/>
      <c r="S33" s="106"/>
      <c r="T33" s="106"/>
      <c r="U33" s="106"/>
      <c r="V33" s="106"/>
      <c r="W33" s="106"/>
      <c r="X33" s="106"/>
      <c r="Y33" s="106"/>
      <c r="Z33" s="106"/>
    </row>
    <row r="34" spans="1:26" ht="12.75" customHeight="1" outlineLevel="1">
      <c r="A34" s="126" t="s">
        <v>221</v>
      </c>
      <c r="B34" s="126" t="s">
        <v>222</v>
      </c>
      <c r="C34" s="126" t="s">
        <v>223</v>
      </c>
      <c r="D34" s="126" t="s">
        <v>224</v>
      </c>
      <c r="E34" s="126" t="s">
        <v>225</v>
      </c>
      <c r="F34" s="126" t="s">
        <v>43</v>
      </c>
      <c r="G34" s="128">
        <v>45998</v>
      </c>
      <c r="H34" s="126" t="s">
        <v>4</v>
      </c>
      <c r="I34" s="126" t="s">
        <v>43</v>
      </c>
      <c r="J34" s="128">
        <v>46001</v>
      </c>
      <c r="K34" s="126" t="s">
        <v>4</v>
      </c>
      <c r="L34" s="126" t="s">
        <v>43</v>
      </c>
      <c r="M34" s="128">
        <v>46003</v>
      </c>
      <c r="N34" s="126" t="s">
        <v>4</v>
      </c>
      <c r="O34" s="142"/>
      <c r="P34" s="143"/>
      <c r="Q34" s="143"/>
      <c r="R34" s="143"/>
      <c r="S34" s="143"/>
      <c r="T34" s="143"/>
      <c r="U34" s="143"/>
      <c r="V34" s="143"/>
      <c r="W34" s="143"/>
      <c r="X34" s="143"/>
      <c r="Y34" s="143"/>
      <c r="Z34" s="143"/>
    </row>
    <row r="35" spans="1:26" ht="12.75" customHeight="1" outlineLevel="1">
      <c r="A35" s="126" t="s">
        <v>226</v>
      </c>
      <c r="B35" s="126" t="s">
        <v>227</v>
      </c>
      <c r="C35" s="126" t="s">
        <v>228</v>
      </c>
      <c r="D35" s="126" t="s">
        <v>229</v>
      </c>
      <c r="E35" s="126" t="s">
        <v>230</v>
      </c>
      <c r="F35" s="126" t="s">
        <v>43</v>
      </c>
      <c r="G35" s="128">
        <v>45998</v>
      </c>
      <c r="H35" s="126" t="s">
        <v>4</v>
      </c>
      <c r="I35" s="126" t="s">
        <v>43</v>
      </c>
      <c r="J35" s="128">
        <v>46001</v>
      </c>
      <c r="K35" s="126" t="s">
        <v>4</v>
      </c>
      <c r="L35" s="126" t="s">
        <v>43</v>
      </c>
      <c r="M35" s="128">
        <v>46003</v>
      </c>
      <c r="N35" s="126" t="s">
        <v>4</v>
      </c>
      <c r="O35" s="142"/>
      <c r="P35" s="143"/>
      <c r="Q35" s="143"/>
      <c r="R35" s="143"/>
      <c r="S35" s="143"/>
      <c r="T35" s="143"/>
      <c r="U35" s="143"/>
      <c r="V35" s="143"/>
      <c r="W35" s="143"/>
      <c r="X35" s="143"/>
      <c r="Y35" s="143"/>
      <c r="Z35" s="143"/>
    </row>
    <row r="36" spans="1:26" ht="12.75" customHeight="1" outlineLevel="1">
      <c r="A36" s="126" t="s">
        <v>231</v>
      </c>
      <c r="B36" s="126" t="s">
        <v>232</v>
      </c>
      <c r="C36" s="126" t="s">
        <v>233</v>
      </c>
      <c r="D36" s="126" t="s">
        <v>234</v>
      </c>
      <c r="E36" s="126" t="s">
        <v>235</v>
      </c>
      <c r="F36" s="126" t="s">
        <v>43</v>
      </c>
      <c r="G36" s="128">
        <v>45998</v>
      </c>
      <c r="H36" s="126" t="s">
        <v>4</v>
      </c>
      <c r="I36" s="126" t="s">
        <v>43</v>
      </c>
      <c r="J36" s="128">
        <v>46001</v>
      </c>
      <c r="K36" s="126" t="s">
        <v>4</v>
      </c>
      <c r="L36" s="126" t="s">
        <v>43</v>
      </c>
      <c r="M36" s="128">
        <v>46003</v>
      </c>
      <c r="N36" s="126" t="s">
        <v>4</v>
      </c>
      <c r="O36" s="142"/>
      <c r="P36" s="143"/>
      <c r="Q36" s="143"/>
      <c r="R36" s="143"/>
      <c r="S36" s="143"/>
      <c r="T36" s="143"/>
      <c r="U36" s="143"/>
      <c r="V36" s="143"/>
      <c r="W36" s="143"/>
      <c r="X36" s="143"/>
      <c r="Y36" s="143"/>
      <c r="Z36" s="143"/>
    </row>
    <row r="37" spans="1:26" ht="12.75" customHeight="1" outlineLevel="1">
      <c r="A37" s="126" t="s">
        <v>236</v>
      </c>
      <c r="B37" s="126" t="s">
        <v>237</v>
      </c>
      <c r="C37" s="126" t="s">
        <v>238</v>
      </c>
      <c r="D37" s="126" t="s">
        <v>239</v>
      </c>
      <c r="E37" s="126" t="s">
        <v>240</v>
      </c>
      <c r="F37" s="126" t="s">
        <v>43</v>
      </c>
      <c r="G37" s="128">
        <v>45998</v>
      </c>
      <c r="H37" s="126" t="s">
        <v>4</v>
      </c>
      <c r="I37" s="126" t="s">
        <v>43</v>
      </c>
      <c r="J37" s="128">
        <v>46001</v>
      </c>
      <c r="K37" s="126" t="s">
        <v>4</v>
      </c>
      <c r="L37" s="126" t="s">
        <v>43</v>
      </c>
      <c r="M37" s="128">
        <v>46003</v>
      </c>
      <c r="N37" s="126" t="s">
        <v>4</v>
      </c>
      <c r="O37" s="142"/>
      <c r="P37" s="143"/>
      <c r="Q37" s="143"/>
      <c r="R37" s="143"/>
      <c r="S37" s="143"/>
      <c r="T37" s="143"/>
      <c r="U37" s="143"/>
      <c r="V37" s="143"/>
      <c r="W37" s="143"/>
      <c r="X37" s="143"/>
      <c r="Y37" s="143"/>
      <c r="Z37" s="143"/>
    </row>
    <row r="38" spans="1:26" ht="12.75" customHeight="1" outlineLevel="1">
      <c r="A38" s="126" t="s">
        <v>241</v>
      </c>
      <c r="B38" s="126" t="s">
        <v>242</v>
      </c>
      <c r="C38" s="126" t="s">
        <v>243</v>
      </c>
      <c r="D38" s="126" t="s">
        <v>244</v>
      </c>
      <c r="E38" s="126" t="s">
        <v>245</v>
      </c>
      <c r="F38" s="126" t="s">
        <v>43</v>
      </c>
      <c r="G38" s="128">
        <v>45998</v>
      </c>
      <c r="H38" s="126" t="s">
        <v>4</v>
      </c>
      <c r="I38" s="126" t="s">
        <v>43</v>
      </c>
      <c r="J38" s="128">
        <v>46001</v>
      </c>
      <c r="K38" s="126" t="s">
        <v>4</v>
      </c>
      <c r="L38" s="126" t="s">
        <v>43</v>
      </c>
      <c r="M38" s="128">
        <v>46003</v>
      </c>
      <c r="N38" s="126" t="s">
        <v>4</v>
      </c>
      <c r="O38" s="142"/>
      <c r="P38" s="143"/>
      <c r="Q38" s="143"/>
      <c r="R38" s="143"/>
      <c r="S38" s="143"/>
      <c r="T38" s="143"/>
      <c r="U38" s="143"/>
      <c r="V38" s="143"/>
      <c r="W38" s="143"/>
      <c r="X38" s="143"/>
      <c r="Y38" s="143"/>
      <c r="Z38" s="143"/>
    </row>
    <row r="39" spans="1:26" ht="12.75" customHeight="1" outlineLevel="1">
      <c r="A39" s="126" t="s">
        <v>246</v>
      </c>
      <c r="B39" s="126" t="s">
        <v>247</v>
      </c>
      <c r="C39" s="126" t="s">
        <v>248</v>
      </c>
      <c r="D39" s="126" t="s">
        <v>249</v>
      </c>
      <c r="E39" s="126" t="s">
        <v>250</v>
      </c>
      <c r="F39" s="126" t="s">
        <v>43</v>
      </c>
      <c r="G39" s="128">
        <v>45998</v>
      </c>
      <c r="H39" s="126" t="s">
        <v>4</v>
      </c>
      <c r="I39" s="126" t="s">
        <v>43</v>
      </c>
      <c r="J39" s="128">
        <v>46001</v>
      </c>
      <c r="K39" s="126" t="s">
        <v>4</v>
      </c>
      <c r="L39" s="126" t="s">
        <v>43</v>
      </c>
      <c r="M39" s="128">
        <v>46003</v>
      </c>
      <c r="N39" s="126" t="s">
        <v>4</v>
      </c>
      <c r="O39" s="142"/>
      <c r="P39" s="143"/>
      <c r="Q39" s="143"/>
      <c r="R39" s="143"/>
      <c r="S39" s="143"/>
      <c r="T39" s="143"/>
      <c r="U39" s="143"/>
      <c r="V39" s="143"/>
      <c r="W39" s="143"/>
      <c r="X39" s="143"/>
      <c r="Y39" s="143"/>
      <c r="Z39" s="143"/>
    </row>
    <row r="40" spans="1:26" ht="12.75" customHeight="1" outlineLevel="1">
      <c r="A40" s="126" t="s">
        <v>251</v>
      </c>
      <c r="B40" s="126" t="s">
        <v>252</v>
      </c>
      <c r="C40" s="126" t="s">
        <v>253</v>
      </c>
      <c r="D40" s="126" t="s">
        <v>254</v>
      </c>
      <c r="E40" s="126" t="s">
        <v>255</v>
      </c>
      <c r="F40" s="126" t="s">
        <v>43</v>
      </c>
      <c r="G40" s="128">
        <v>45998</v>
      </c>
      <c r="H40" s="126" t="s">
        <v>4</v>
      </c>
      <c r="I40" s="126" t="s">
        <v>43</v>
      </c>
      <c r="J40" s="128">
        <v>46001</v>
      </c>
      <c r="K40" s="126" t="s">
        <v>4</v>
      </c>
      <c r="L40" s="126" t="s">
        <v>43</v>
      </c>
      <c r="M40" s="128">
        <v>46003</v>
      </c>
      <c r="N40" s="126" t="s">
        <v>4</v>
      </c>
      <c r="O40" s="142"/>
      <c r="P40" s="143"/>
      <c r="Q40" s="143"/>
      <c r="R40" s="143"/>
      <c r="S40" s="143"/>
      <c r="T40" s="143"/>
      <c r="U40" s="143"/>
      <c r="V40" s="143"/>
      <c r="W40" s="143"/>
      <c r="X40" s="143"/>
      <c r="Y40" s="143"/>
      <c r="Z40" s="143"/>
    </row>
    <row r="41" spans="1:26" ht="12.75" customHeight="1" outlineLevel="1">
      <c r="A41" s="126" t="s">
        <v>256</v>
      </c>
      <c r="B41" s="126" t="s">
        <v>257</v>
      </c>
      <c r="C41" s="126" t="s">
        <v>258</v>
      </c>
      <c r="D41" s="126" t="s">
        <v>259</v>
      </c>
      <c r="E41" s="126" t="s">
        <v>260</v>
      </c>
      <c r="F41" s="126" t="s">
        <v>43</v>
      </c>
      <c r="G41" s="128">
        <v>45998</v>
      </c>
      <c r="H41" s="126" t="s">
        <v>4</v>
      </c>
      <c r="I41" s="126" t="s">
        <v>43</v>
      </c>
      <c r="J41" s="128">
        <v>46001</v>
      </c>
      <c r="K41" s="126" t="s">
        <v>4</v>
      </c>
      <c r="L41" s="126" t="s">
        <v>43</v>
      </c>
      <c r="M41" s="128">
        <v>46003</v>
      </c>
      <c r="N41" s="126" t="s">
        <v>4</v>
      </c>
      <c r="O41" s="142"/>
      <c r="P41" s="143"/>
      <c r="Q41" s="143"/>
      <c r="R41" s="143"/>
      <c r="S41" s="143"/>
      <c r="T41" s="143"/>
      <c r="U41" s="143"/>
      <c r="V41" s="143"/>
      <c r="W41" s="143"/>
      <c r="X41" s="143"/>
      <c r="Y41" s="143"/>
      <c r="Z41" s="143"/>
    </row>
    <row r="42" spans="1:26" ht="12.75" customHeight="1" outlineLevel="1">
      <c r="A42" s="126" t="s">
        <v>261</v>
      </c>
      <c r="B42" s="126" t="s">
        <v>262</v>
      </c>
      <c r="C42" s="126" t="s">
        <v>263</v>
      </c>
      <c r="D42" s="126" t="s">
        <v>264</v>
      </c>
      <c r="E42" s="126" t="s">
        <v>265</v>
      </c>
      <c r="F42" s="126" t="s">
        <v>43</v>
      </c>
      <c r="G42" s="128">
        <v>45998</v>
      </c>
      <c r="H42" s="126" t="s">
        <v>4</v>
      </c>
      <c r="I42" s="126" t="s">
        <v>43</v>
      </c>
      <c r="J42" s="128">
        <v>46001</v>
      </c>
      <c r="K42" s="126" t="s">
        <v>4</v>
      </c>
      <c r="L42" s="126" t="s">
        <v>43</v>
      </c>
      <c r="M42" s="128">
        <v>46003</v>
      </c>
      <c r="N42" s="126" t="s">
        <v>4</v>
      </c>
      <c r="O42" s="142"/>
      <c r="P42" s="143"/>
      <c r="Q42" s="143"/>
      <c r="R42" s="143"/>
      <c r="S42" s="143"/>
      <c r="T42" s="143"/>
      <c r="U42" s="143"/>
      <c r="V42" s="143"/>
      <c r="W42" s="143"/>
      <c r="X42" s="143"/>
      <c r="Y42" s="143"/>
      <c r="Z42" s="143"/>
    </row>
    <row r="43" spans="1:26" ht="12.75" customHeight="1" outlineLevel="1">
      <c r="A43" s="126" t="s">
        <v>266</v>
      </c>
      <c r="B43" s="126" t="s">
        <v>267</v>
      </c>
      <c r="C43" s="126" t="s">
        <v>268</v>
      </c>
      <c r="D43" s="126" t="s">
        <v>269</v>
      </c>
      <c r="E43" s="126" t="s">
        <v>270</v>
      </c>
      <c r="F43" s="126" t="s">
        <v>43</v>
      </c>
      <c r="G43" s="128">
        <v>45998</v>
      </c>
      <c r="H43" s="126" t="s">
        <v>4</v>
      </c>
      <c r="I43" s="126" t="s">
        <v>43</v>
      </c>
      <c r="J43" s="128">
        <v>46001</v>
      </c>
      <c r="K43" s="126" t="s">
        <v>4</v>
      </c>
      <c r="L43" s="126" t="s">
        <v>43</v>
      </c>
      <c r="M43" s="128">
        <v>46003</v>
      </c>
      <c r="N43" s="126" t="s">
        <v>4</v>
      </c>
      <c r="O43" s="142"/>
      <c r="P43" s="143"/>
      <c r="Q43" s="143"/>
      <c r="R43" s="143"/>
      <c r="S43" s="143"/>
      <c r="T43" s="143"/>
      <c r="U43" s="143"/>
      <c r="V43" s="143"/>
      <c r="W43" s="143"/>
      <c r="X43" s="143"/>
      <c r="Y43" s="143"/>
      <c r="Z43" s="143"/>
    </row>
    <row r="44" spans="1:26" ht="12.75" customHeight="1" outlineLevel="1">
      <c r="A44" s="126" t="s">
        <v>271</v>
      </c>
      <c r="B44" s="126" t="s">
        <v>272</v>
      </c>
      <c r="C44" s="126" t="s">
        <v>273</v>
      </c>
      <c r="D44" s="126" t="s">
        <v>274</v>
      </c>
      <c r="E44" s="126" t="s">
        <v>275</v>
      </c>
      <c r="F44" s="126" t="s">
        <v>43</v>
      </c>
      <c r="G44" s="128">
        <v>45998</v>
      </c>
      <c r="H44" s="126" t="s">
        <v>4</v>
      </c>
      <c r="I44" s="126" t="s">
        <v>43</v>
      </c>
      <c r="J44" s="128">
        <v>46001</v>
      </c>
      <c r="K44" s="126" t="s">
        <v>4</v>
      </c>
      <c r="L44" s="126" t="s">
        <v>43</v>
      </c>
      <c r="M44" s="128">
        <v>46003</v>
      </c>
      <c r="N44" s="126" t="s">
        <v>4</v>
      </c>
      <c r="O44" s="142"/>
      <c r="P44" s="143"/>
      <c r="Q44" s="143"/>
      <c r="R44" s="143"/>
      <c r="S44" s="143"/>
      <c r="T44" s="143"/>
      <c r="U44" s="143"/>
      <c r="V44" s="143"/>
      <c r="W44" s="143"/>
      <c r="X44" s="143"/>
      <c r="Y44" s="143"/>
      <c r="Z44" s="143"/>
    </row>
    <row r="45" spans="1:26" ht="12.75" customHeight="1" outlineLevel="1">
      <c r="A45" s="126" t="s">
        <v>276</v>
      </c>
      <c r="B45" s="126" t="s">
        <v>277</v>
      </c>
      <c r="C45" s="126" t="s">
        <v>278</v>
      </c>
      <c r="D45" s="126" t="s">
        <v>279</v>
      </c>
      <c r="E45" s="126" t="s">
        <v>280</v>
      </c>
      <c r="F45" s="126" t="s">
        <v>43</v>
      </c>
      <c r="G45" s="128">
        <v>45998</v>
      </c>
      <c r="H45" s="126" t="s">
        <v>4</v>
      </c>
      <c r="I45" s="126" t="s">
        <v>43</v>
      </c>
      <c r="J45" s="128">
        <v>46001</v>
      </c>
      <c r="K45" s="126" t="s">
        <v>4</v>
      </c>
      <c r="L45" s="126" t="s">
        <v>43</v>
      </c>
      <c r="M45" s="128">
        <v>46003</v>
      </c>
      <c r="N45" s="126" t="s">
        <v>4</v>
      </c>
      <c r="O45" s="142"/>
      <c r="P45" s="143"/>
      <c r="Q45" s="143"/>
      <c r="R45" s="143"/>
      <c r="S45" s="143"/>
      <c r="T45" s="143"/>
      <c r="U45" s="143"/>
      <c r="V45" s="143"/>
      <c r="W45" s="143"/>
      <c r="X45" s="143"/>
      <c r="Y45" s="143"/>
      <c r="Z45" s="143"/>
    </row>
    <row r="46" spans="1:26" ht="12.75" customHeight="1" outlineLevel="1">
      <c r="A46" s="126" t="s">
        <v>281</v>
      </c>
      <c r="B46" s="126" t="s">
        <v>282</v>
      </c>
      <c r="C46" s="126" t="s">
        <v>283</v>
      </c>
      <c r="D46" s="126" t="s">
        <v>284</v>
      </c>
      <c r="E46" s="126" t="s">
        <v>285</v>
      </c>
      <c r="F46" s="126" t="s">
        <v>43</v>
      </c>
      <c r="G46" s="128">
        <v>45998</v>
      </c>
      <c r="H46" s="126" t="s">
        <v>4</v>
      </c>
      <c r="I46" s="126" t="s">
        <v>43</v>
      </c>
      <c r="J46" s="128">
        <v>46001</v>
      </c>
      <c r="K46" s="126" t="s">
        <v>4</v>
      </c>
      <c r="L46" s="126" t="s">
        <v>43</v>
      </c>
      <c r="M46" s="128">
        <v>46003</v>
      </c>
      <c r="N46" s="126" t="s">
        <v>4</v>
      </c>
      <c r="O46" s="142"/>
      <c r="P46" s="143"/>
      <c r="Q46" s="143"/>
      <c r="R46" s="143"/>
      <c r="S46" s="143"/>
      <c r="T46" s="143"/>
      <c r="U46" s="143"/>
      <c r="V46" s="143"/>
      <c r="W46" s="143"/>
      <c r="X46" s="143"/>
      <c r="Y46" s="143"/>
      <c r="Z46" s="143"/>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row r="1010" spans="1:26" ht="12.75" customHeight="1">
      <c r="A1010" s="7"/>
      <c r="B1010" s="7"/>
      <c r="C1010" s="7"/>
      <c r="D1010" s="7"/>
      <c r="E1010" s="7"/>
      <c r="F1010" s="7"/>
      <c r="G1010" s="7"/>
      <c r="H1010" s="7"/>
      <c r="I1010" s="7"/>
      <c r="J1010" s="7"/>
      <c r="K1010" s="7"/>
      <c r="L1010" s="7"/>
      <c r="M1010" s="7"/>
      <c r="N1010" s="7"/>
      <c r="O1010" s="7"/>
      <c r="P1010" s="7"/>
      <c r="Q1010" s="101"/>
      <c r="R1010" s="7"/>
      <c r="S1010" s="7"/>
      <c r="T1010" s="7"/>
      <c r="U1010" s="7"/>
      <c r="V1010" s="7"/>
      <c r="W1010" s="7"/>
      <c r="X1010" s="7"/>
      <c r="Y1010" s="7"/>
      <c r="Z1010" s="7"/>
    </row>
    <row r="1011" spans="1:26" ht="12.75" customHeight="1">
      <c r="A1011" s="7"/>
      <c r="B1011" s="7"/>
      <c r="C1011" s="7"/>
      <c r="D1011" s="7"/>
      <c r="E1011" s="7"/>
      <c r="F1011" s="7"/>
      <c r="G1011" s="7"/>
      <c r="H1011" s="7"/>
      <c r="I1011" s="7"/>
      <c r="J1011" s="7"/>
      <c r="K1011" s="7"/>
      <c r="L1011" s="7"/>
      <c r="M1011" s="7"/>
      <c r="N1011" s="7"/>
      <c r="O1011" s="7"/>
      <c r="P1011" s="7"/>
      <c r="Q1011" s="101"/>
      <c r="R1011" s="7"/>
      <c r="S1011" s="7"/>
      <c r="T1011" s="7"/>
      <c r="U1011" s="7"/>
      <c r="V1011" s="7"/>
      <c r="W1011" s="7"/>
      <c r="X1011" s="7"/>
      <c r="Y1011" s="7"/>
      <c r="Z1011" s="7"/>
    </row>
    <row r="1012" spans="1:26" ht="12.75" customHeight="1">
      <c r="A1012" s="7"/>
      <c r="B1012" s="7"/>
      <c r="C1012" s="7"/>
      <c r="D1012" s="7"/>
      <c r="E1012" s="7"/>
      <c r="F1012" s="7"/>
      <c r="G1012" s="7"/>
      <c r="H1012" s="7"/>
      <c r="I1012" s="7"/>
      <c r="J1012" s="7"/>
      <c r="K1012" s="7"/>
      <c r="L1012" s="7"/>
      <c r="M1012" s="7"/>
      <c r="N1012" s="7"/>
      <c r="O1012" s="7"/>
      <c r="P1012" s="7"/>
      <c r="Q1012" s="101"/>
      <c r="R1012" s="7"/>
      <c r="S1012" s="7"/>
      <c r="T1012" s="7"/>
      <c r="U1012" s="7"/>
      <c r="V1012" s="7"/>
      <c r="W1012" s="7"/>
      <c r="X1012" s="7"/>
      <c r="Y1012" s="7"/>
      <c r="Z1012" s="7"/>
    </row>
    <row r="1013" spans="1:26" ht="12.75" customHeight="1">
      <c r="A1013" s="7"/>
      <c r="B1013" s="7"/>
      <c r="C1013" s="7"/>
      <c r="D1013" s="7"/>
      <c r="E1013" s="7"/>
      <c r="F1013" s="7"/>
      <c r="G1013" s="7"/>
      <c r="H1013" s="7"/>
      <c r="I1013" s="7"/>
      <c r="J1013" s="7"/>
      <c r="K1013" s="7"/>
      <c r="L1013" s="7"/>
      <c r="M1013" s="7"/>
      <c r="N1013" s="7"/>
      <c r="O1013" s="7"/>
      <c r="P1013" s="7"/>
      <c r="Q1013" s="101"/>
      <c r="R1013" s="7"/>
      <c r="S1013" s="7"/>
      <c r="T1013" s="7"/>
      <c r="U1013" s="7"/>
      <c r="V1013" s="7"/>
      <c r="W1013" s="7"/>
      <c r="X1013" s="7"/>
      <c r="Y1013" s="7"/>
      <c r="Z1013" s="7"/>
    </row>
    <row r="1014" spans="1:26" ht="12.75" customHeight="1">
      <c r="A1014" s="7"/>
      <c r="B1014" s="7"/>
      <c r="C1014" s="7"/>
      <c r="D1014" s="7"/>
      <c r="E1014" s="7"/>
      <c r="F1014" s="7"/>
      <c r="G1014" s="7"/>
      <c r="H1014" s="7"/>
      <c r="I1014" s="7"/>
      <c r="J1014" s="7"/>
      <c r="K1014" s="7"/>
      <c r="L1014" s="7"/>
      <c r="M1014" s="7"/>
      <c r="N1014" s="7"/>
      <c r="O1014" s="7"/>
      <c r="P1014" s="7"/>
      <c r="Q1014" s="101"/>
      <c r="R1014" s="7"/>
      <c r="S1014" s="7"/>
      <c r="T1014" s="7"/>
      <c r="U1014" s="7"/>
      <c r="V1014" s="7"/>
      <c r="W1014" s="7"/>
      <c r="X1014" s="7"/>
      <c r="Y1014" s="7"/>
      <c r="Z1014" s="7"/>
    </row>
    <row r="1015" spans="1:26" ht="12.75" customHeight="1">
      <c r="A1015" s="7"/>
      <c r="B1015" s="7"/>
      <c r="C1015" s="7"/>
      <c r="D1015" s="7"/>
      <c r="E1015" s="7"/>
      <c r="F1015" s="7"/>
      <c r="G1015" s="7"/>
      <c r="H1015" s="7"/>
      <c r="I1015" s="7"/>
      <c r="J1015" s="7"/>
      <c r="K1015" s="7"/>
      <c r="L1015" s="7"/>
      <c r="M1015" s="7"/>
      <c r="N1015" s="7"/>
      <c r="O1015" s="7"/>
      <c r="P1015" s="7"/>
      <c r="Q1015" s="101"/>
      <c r="R1015" s="7"/>
      <c r="S1015" s="7"/>
      <c r="T1015" s="7"/>
      <c r="U1015" s="7"/>
      <c r="V1015" s="7"/>
      <c r="W1015" s="7"/>
      <c r="X1015" s="7"/>
      <c r="Y1015" s="7"/>
      <c r="Z1015" s="7"/>
    </row>
    <row r="1016" spans="1:26" ht="12.75" customHeight="1">
      <c r="A1016" s="7"/>
      <c r="B1016" s="7"/>
      <c r="C1016" s="7"/>
      <c r="D1016" s="7"/>
      <c r="E1016" s="7"/>
      <c r="F1016" s="7"/>
      <c r="G1016" s="7"/>
      <c r="H1016" s="7"/>
      <c r="I1016" s="7"/>
      <c r="J1016" s="7"/>
      <c r="K1016" s="7"/>
      <c r="L1016" s="7"/>
      <c r="M1016" s="7"/>
      <c r="N1016" s="7"/>
      <c r="O1016" s="7"/>
      <c r="P1016" s="7"/>
      <c r="Q1016" s="101"/>
      <c r="R1016" s="7"/>
      <c r="S1016" s="7"/>
      <c r="T1016" s="7"/>
      <c r="U1016" s="7"/>
      <c r="V1016" s="7"/>
      <c r="W1016" s="7"/>
      <c r="X1016" s="7"/>
      <c r="Y1016" s="7"/>
      <c r="Z1016" s="7"/>
    </row>
    <row r="1017" spans="1:26" ht="12.75" customHeight="1">
      <c r="A1017" s="7"/>
      <c r="B1017" s="7"/>
      <c r="C1017" s="7"/>
      <c r="D1017" s="7"/>
      <c r="E1017" s="7"/>
      <c r="F1017" s="7"/>
      <c r="G1017" s="7"/>
      <c r="H1017" s="7"/>
      <c r="I1017" s="7"/>
      <c r="J1017" s="7"/>
      <c r="K1017" s="7"/>
      <c r="L1017" s="7"/>
      <c r="M1017" s="7"/>
      <c r="N1017" s="7"/>
      <c r="O1017" s="7"/>
      <c r="P1017" s="7"/>
      <c r="Q1017" s="101"/>
      <c r="R1017" s="7"/>
      <c r="S1017" s="7"/>
      <c r="T1017" s="7"/>
      <c r="U1017" s="7"/>
      <c r="V1017" s="7"/>
      <c r="W1017" s="7"/>
      <c r="X1017" s="7"/>
      <c r="Y1017" s="7"/>
      <c r="Z1017" s="7"/>
    </row>
    <row r="1018" spans="1:26" ht="12.75" customHeight="1">
      <c r="A1018" s="7"/>
      <c r="B1018" s="7"/>
      <c r="C1018" s="7"/>
      <c r="D1018" s="7"/>
      <c r="E1018" s="7"/>
      <c r="F1018" s="7"/>
      <c r="G1018" s="7"/>
      <c r="H1018" s="7"/>
      <c r="I1018" s="7"/>
      <c r="J1018" s="7"/>
      <c r="K1018" s="7"/>
      <c r="L1018" s="7"/>
      <c r="M1018" s="7"/>
      <c r="N1018" s="7"/>
      <c r="O1018" s="7"/>
      <c r="P1018" s="7"/>
      <c r="Q1018" s="101"/>
      <c r="R1018" s="7"/>
      <c r="S1018" s="7"/>
      <c r="T1018" s="7"/>
      <c r="U1018" s="7"/>
      <c r="V1018" s="7"/>
      <c r="W1018" s="7"/>
      <c r="X1018" s="7"/>
      <c r="Y1018" s="7"/>
      <c r="Z1018" s="7"/>
    </row>
    <row r="1019" spans="1:26" ht="12.75" customHeight="1">
      <c r="A1019" s="7"/>
      <c r="B1019" s="7"/>
      <c r="C1019" s="7"/>
      <c r="D1019" s="7"/>
      <c r="E1019" s="7"/>
      <c r="F1019" s="7"/>
      <c r="G1019" s="7"/>
      <c r="H1019" s="7"/>
      <c r="I1019" s="7"/>
      <c r="J1019" s="7"/>
      <c r="K1019" s="7"/>
      <c r="L1019" s="7"/>
      <c r="M1019" s="7"/>
      <c r="N1019" s="7"/>
      <c r="O1019" s="7"/>
      <c r="P1019" s="7"/>
      <c r="Q1019" s="101"/>
      <c r="R1019" s="7"/>
      <c r="S1019" s="7"/>
      <c r="T1019" s="7"/>
      <c r="U1019" s="7"/>
      <c r="V1019" s="7"/>
      <c r="W1019" s="7"/>
      <c r="X1019" s="7"/>
      <c r="Y1019" s="7"/>
      <c r="Z1019" s="7"/>
    </row>
    <row r="1020" spans="1:26" ht="12.75" customHeight="1">
      <c r="A1020" s="7"/>
      <c r="B1020" s="7"/>
      <c r="C1020" s="7"/>
      <c r="D1020" s="7"/>
      <c r="E1020" s="7"/>
      <c r="F1020" s="7"/>
      <c r="G1020" s="7"/>
      <c r="H1020" s="7"/>
      <c r="I1020" s="7"/>
      <c r="J1020" s="7"/>
      <c r="K1020" s="7"/>
      <c r="L1020" s="7"/>
      <c r="M1020" s="7"/>
      <c r="N1020" s="7"/>
      <c r="O1020" s="7"/>
      <c r="P1020" s="7"/>
      <c r="Q1020" s="101"/>
      <c r="R1020" s="7"/>
      <c r="S1020" s="7"/>
      <c r="T1020" s="7"/>
      <c r="U1020" s="7"/>
      <c r="V1020" s="7"/>
      <c r="W1020" s="7"/>
      <c r="X1020" s="7"/>
      <c r="Y1020" s="7"/>
      <c r="Z1020" s="7"/>
    </row>
    <row r="1021" spans="1:26" ht="12.75" customHeight="1">
      <c r="A1021" s="7"/>
      <c r="B1021" s="7"/>
      <c r="C1021" s="7"/>
      <c r="D1021" s="7"/>
      <c r="E1021" s="7"/>
      <c r="F1021" s="7"/>
      <c r="G1021" s="7"/>
      <c r="H1021" s="7"/>
      <c r="I1021" s="7"/>
      <c r="J1021" s="7"/>
      <c r="K1021" s="7"/>
      <c r="L1021" s="7"/>
      <c r="M1021" s="7"/>
      <c r="N1021" s="7"/>
      <c r="O1021" s="7"/>
      <c r="P1021" s="7"/>
      <c r="Q1021" s="101"/>
      <c r="R1021" s="7"/>
      <c r="S1021" s="7"/>
      <c r="T1021" s="7"/>
      <c r="U1021" s="7"/>
      <c r="V1021" s="7"/>
      <c r="W1021" s="7"/>
      <c r="X1021" s="7"/>
      <c r="Y1021" s="7"/>
      <c r="Z1021" s="7"/>
    </row>
    <row r="1022" spans="1:26" ht="12.75" customHeight="1">
      <c r="A1022" s="7"/>
      <c r="B1022" s="7"/>
      <c r="C1022" s="7"/>
      <c r="D1022" s="7"/>
      <c r="E1022" s="7"/>
      <c r="F1022" s="7"/>
      <c r="G1022" s="7"/>
      <c r="H1022" s="7"/>
      <c r="I1022" s="7"/>
      <c r="J1022" s="7"/>
      <c r="K1022" s="7"/>
      <c r="L1022" s="7"/>
      <c r="M1022" s="7"/>
      <c r="N1022" s="7"/>
      <c r="O1022" s="7"/>
      <c r="P1022" s="7"/>
      <c r="Q1022" s="101"/>
      <c r="R1022" s="7"/>
      <c r="S1022" s="7"/>
      <c r="T1022" s="7"/>
      <c r="U1022" s="7"/>
      <c r="V1022" s="7"/>
      <c r="W1022" s="7"/>
      <c r="X1022" s="7"/>
      <c r="Y1022" s="7"/>
      <c r="Z1022" s="7"/>
    </row>
    <row r="1023" spans="1:26" ht="12.75" customHeight="1">
      <c r="A1023" s="7"/>
      <c r="B1023" s="7"/>
      <c r="C1023" s="7"/>
      <c r="D1023" s="7"/>
      <c r="E1023" s="7"/>
      <c r="F1023" s="7"/>
      <c r="G1023" s="7"/>
      <c r="H1023" s="7"/>
      <c r="I1023" s="7"/>
      <c r="J1023" s="7"/>
      <c r="K1023" s="7"/>
      <c r="L1023" s="7"/>
      <c r="M1023" s="7"/>
      <c r="N1023" s="7"/>
      <c r="O1023" s="7"/>
      <c r="P1023" s="7"/>
      <c r="Q1023" s="101"/>
      <c r="R1023" s="7"/>
      <c r="S1023" s="7"/>
      <c r="T1023" s="7"/>
      <c r="U1023" s="7"/>
      <c r="V1023" s="7"/>
      <c r="W1023" s="7"/>
      <c r="X1023" s="7"/>
      <c r="Y1023" s="7"/>
      <c r="Z1023" s="7"/>
    </row>
    <row r="1024" spans="1:26" ht="12.75" customHeight="1">
      <c r="A1024" s="7"/>
      <c r="B1024" s="7"/>
      <c r="C1024" s="7"/>
      <c r="D1024" s="7"/>
      <c r="E1024" s="7"/>
      <c r="F1024" s="7"/>
      <c r="G1024" s="7"/>
      <c r="H1024" s="7"/>
      <c r="I1024" s="7"/>
      <c r="J1024" s="7"/>
      <c r="K1024" s="7"/>
      <c r="L1024" s="7"/>
      <c r="M1024" s="7"/>
      <c r="N1024" s="7"/>
      <c r="O1024" s="7"/>
      <c r="P1024" s="7"/>
      <c r="Q1024" s="101"/>
      <c r="R1024" s="7"/>
      <c r="S1024" s="7"/>
      <c r="T1024" s="7"/>
      <c r="U1024" s="7"/>
      <c r="V1024" s="7"/>
      <c r="W1024" s="7"/>
      <c r="X1024" s="7"/>
      <c r="Y1024" s="7"/>
      <c r="Z1024" s="7"/>
    </row>
    <row r="1025" spans="1:26" ht="12.75" customHeight="1">
      <c r="A1025" s="7"/>
      <c r="B1025" s="7"/>
      <c r="C1025" s="7"/>
      <c r="D1025" s="7"/>
      <c r="E1025" s="7"/>
      <c r="F1025" s="7"/>
      <c r="G1025" s="7"/>
      <c r="H1025" s="7"/>
      <c r="I1025" s="7"/>
      <c r="J1025" s="7"/>
      <c r="K1025" s="7"/>
      <c r="L1025" s="7"/>
      <c r="M1025" s="7"/>
      <c r="N1025" s="7"/>
      <c r="O1025" s="7"/>
      <c r="P1025" s="7"/>
      <c r="Q1025" s="101"/>
      <c r="R1025" s="7"/>
      <c r="S1025" s="7"/>
      <c r="T1025" s="7"/>
      <c r="U1025" s="7"/>
      <c r="V1025" s="7"/>
      <c r="W1025" s="7"/>
      <c r="X1025" s="7"/>
      <c r="Y1025" s="7"/>
      <c r="Z1025" s="7"/>
    </row>
    <row r="1026" spans="1:26" ht="12.75" customHeight="1">
      <c r="A1026" s="7"/>
      <c r="B1026" s="7"/>
      <c r="C1026" s="7"/>
      <c r="D1026" s="7"/>
      <c r="E1026" s="7"/>
      <c r="F1026" s="7"/>
      <c r="G1026" s="7"/>
      <c r="H1026" s="7"/>
      <c r="I1026" s="7"/>
      <c r="J1026" s="7"/>
      <c r="K1026" s="7"/>
      <c r="L1026" s="7"/>
      <c r="M1026" s="7"/>
      <c r="N1026" s="7"/>
      <c r="O1026" s="7"/>
      <c r="P1026" s="7"/>
      <c r="Q1026" s="101"/>
      <c r="R1026" s="7"/>
      <c r="S1026" s="7"/>
      <c r="T1026" s="7"/>
      <c r="U1026" s="7"/>
      <c r="V1026" s="7"/>
      <c r="W1026" s="7"/>
      <c r="X1026" s="7"/>
      <c r="Y1026" s="7"/>
      <c r="Z1026" s="7"/>
    </row>
    <row r="1027" spans="1:26" ht="12.75" customHeight="1">
      <c r="A1027" s="7"/>
      <c r="B1027" s="7"/>
      <c r="C1027" s="7"/>
      <c r="D1027" s="7"/>
      <c r="E1027" s="7"/>
      <c r="F1027" s="7"/>
      <c r="G1027" s="7"/>
      <c r="H1027" s="7"/>
      <c r="I1027" s="7"/>
      <c r="J1027" s="7"/>
      <c r="K1027" s="7"/>
      <c r="L1027" s="7"/>
      <c r="M1027" s="7"/>
      <c r="N1027" s="7"/>
      <c r="O1027" s="7"/>
      <c r="P1027" s="7"/>
      <c r="Q1027" s="101"/>
      <c r="R1027" s="7"/>
      <c r="S1027" s="7"/>
      <c r="T1027" s="7"/>
      <c r="U1027" s="7"/>
      <c r="V1027" s="7"/>
      <c r="W1027" s="7"/>
      <c r="X1027" s="7"/>
      <c r="Y1027" s="7"/>
      <c r="Z1027" s="7"/>
    </row>
  </sheetData>
  <mergeCells count="3">
    <mergeCell ref="B2:E2"/>
    <mergeCell ref="B3:E3"/>
    <mergeCell ref="B4:E4"/>
  </mergeCells>
  <dataValidations count="1">
    <dataValidation type="list" allowBlank="1" showErrorMessage="1" sqref="G2:G3 J2:J3 M2:M3 G9 J9 M9 F11:F46 I11:I46 L11:L46 G47:G174 J47:J174 M47:M174" xr:uid="{00000000-0002-0000-0400-000000000000}">
      <formula1>$R$2:$R$5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62"/>
  <sheetViews>
    <sheetView topLeftCell="C57" zoomScale="85" zoomScaleNormal="85" workbookViewId="0">
      <selection activeCell="D17" sqref="D17"/>
    </sheetView>
  </sheetViews>
  <sheetFormatPr defaultColWidth="12.6640625" defaultRowHeight="15" customHeight="1" outlineLevelRow="1" outlineLevelCol="1"/>
  <cols>
    <col min="1" max="1" width="21.77734375" customWidth="1"/>
    <col min="2" max="2" width="34.44140625" customWidth="1"/>
    <col min="3" max="3" width="34.109375" customWidth="1"/>
    <col min="4" max="4" width="34.6640625" customWidth="1"/>
    <col min="5" max="5" width="28.33203125" customWidth="1"/>
    <col min="6" max="6" width="9.33203125" customWidth="1"/>
    <col min="7" max="7" width="10.6640625" customWidth="1" outlineLevel="1"/>
    <col min="8" max="8" width="10.109375" customWidth="1" outlineLevel="1"/>
    <col min="9" max="9" width="9.33203125" customWidth="1"/>
    <col min="10" max="10" width="10.6640625" customWidth="1" outlineLevel="1"/>
    <col min="11" max="11" width="8.109375" customWidth="1" outlineLevel="1"/>
    <col min="12" max="12" width="9.33203125" customWidth="1"/>
    <col min="13" max="13" width="10.6640625" customWidth="1" outlineLevel="1"/>
    <col min="14" max="14" width="9.109375"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3" t="s">
        <v>34</v>
      </c>
      <c r="C2" s="194"/>
      <c r="D2" s="194"/>
      <c r="E2" s="195"/>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6" t="s">
        <v>286</v>
      </c>
      <c r="C3" s="178"/>
      <c r="D3" s="178"/>
      <c r="E3" s="197"/>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6">
        <v>63</v>
      </c>
      <c r="C4" s="178"/>
      <c r="D4" s="178"/>
      <c r="E4" s="197"/>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COUNTIF($F10:$F1060,B5)</f>
        <v>63</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COUNTIF($F10:$F1060,B5)</f>
        <v>63</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COUNTIF($F10:$F1060,B5)</f>
        <v>63</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287</v>
      </c>
      <c r="B11" s="134"/>
      <c r="C11" s="135"/>
      <c r="D11" s="135"/>
      <c r="E11" s="135"/>
      <c r="F11" s="135"/>
      <c r="G11" s="135"/>
      <c r="H11" s="135"/>
      <c r="I11" s="135"/>
      <c r="J11" s="135"/>
      <c r="K11" s="135"/>
      <c r="L11" s="135"/>
      <c r="M11" s="135"/>
      <c r="N11" s="135"/>
      <c r="O11" s="136"/>
      <c r="P11" s="144"/>
      <c r="Q11" s="145"/>
      <c r="R11" s="144"/>
      <c r="S11" s="144"/>
      <c r="T11" s="144"/>
      <c r="U11" s="144"/>
      <c r="V11" s="144"/>
      <c r="W11" s="144"/>
      <c r="X11" s="144"/>
      <c r="Y11" s="144"/>
      <c r="Z11" s="144"/>
    </row>
    <row r="12" spans="1:26" ht="12.75" customHeight="1" outlineLevel="1">
      <c r="A12" s="126" t="s">
        <v>288</v>
      </c>
      <c r="B12" s="146" t="s">
        <v>289</v>
      </c>
      <c r="C12" s="126" t="s">
        <v>290</v>
      </c>
      <c r="D12" s="126" t="s">
        <v>291</v>
      </c>
      <c r="E12" s="126" t="s">
        <v>292</v>
      </c>
      <c r="F12" s="126" t="s">
        <v>43</v>
      </c>
      <c r="G12" s="147">
        <v>45998</v>
      </c>
      <c r="H12" s="126" t="s">
        <v>4</v>
      </c>
      <c r="I12" s="126" t="s">
        <v>43</v>
      </c>
      <c r="J12" s="147">
        <v>46001</v>
      </c>
      <c r="K12" s="126" t="s">
        <v>4</v>
      </c>
      <c r="L12" s="126" t="s">
        <v>43</v>
      </c>
      <c r="M12" s="147">
        <v>46003</v>
      </c>
      <c r="N12" s="126" t="s">
        <v>4</v>
      </c>
      <c r="O12" s="126"/>
      <c r="P12" s="7"/>
      <c r="Q12" s="101"/>
      <c r="R12" s="7"/>
      <c r="S12" s="7"/>
      <c r="T12" s="7"/>
      <c r="U12" s="7"/>
      <c r="V12" s="7"/>
      <c r="W12" s="7"/>
      <c r="X12" s="7"/>
      <c r="Y12" s="7"/>
      <c r="Z12" s="7"/>
    </row>
    <row r="13" spans="1:26" ht="12.75" customHeight="1" outlineLevel="1">
      <c r="A13" s="126" t="s">
        <v>293</v>
      </c>
      <c r="B13" s="126" t="s">
        <v>294</v>
      </c>
      <c r="C13" s="126" t="s">
        <v>295</v>
      </c>
      <c r="D13" s="126" t="s">
        <v>296</v>
      </c>
      <c r="E13" s="126" t="s">
        <v>297</v>
      </c>
      <c r="F13" s="126" t="s">
        <v>43</v>
      </c>
      <c r="G13" s="147">
        <v>45998</v>
      </c>
      <c r="H13" s="126" t="s">
        <v>4</v>
      </c>
      <c r="I13" s="126" t="s">
        <v>43</v>
      </c>
      <c r="J13" s="147">
        <v>46001</v>
      </c>
      <c r="K13" s="126" t="s">
        <v>4</v>
      </c>
      <c r="L13" s="126" t="s">
        <v>43</v>
      </c>
      <c r="M13" s="147">
        <v>46003</v>
      </c>
      <c r="N13" s="126" t="s">
        <v>4</v>
      </c>
      <c r="O13" s="126"/>
      <c r="P13" s="7"/>
      <c r="Q13" s="101"/>
      <c r="R13" s="7"/>
      <c r="S13" s="7"/>
      <c r="T13" s="7"/>
      <c r="U13" s="7"/>
      <c r="V13" s="7"/>
      <c r="W13" s="7"/>
      <c r="X13" s="7"/>
      <c r="Y13" s="7"/>
      <c r="Z13" s="7"/>
    </row>
    <row r="14" spans="1:26" ht="12.75" customHeight="1" outlineLevel="1">
      <c r="A14" s="126" t="s">
        <v>298</v>
      </c>
      <c r="B14" s="126" t="s">
        <v>299</v>
      </c>
      <c r="C14" s="126" t="s">
        <v>300</v>
      </c>
      <c r="D14" s="126" t="s">
        <v>301</v>
      </c>
      <c r="E14" s="126" t="s">
        <v>302</v>
      </c>
      <c r="F14" s="126" t="s">
        <v>43</v>
      </c>
      <c r="G14" s="147">
        <v>45998</v>
      </c>
      <c r="H14" s="126" t="s">
        <v>4</v>
      </c>
      <c r="I14" s="126" t="s">
        <v>43</v>
      </c>
      <c r="J14" s="147">
        <v>46001</v>
      </c>
      <c r="K14" s="126" t="s">
        <v>4</v>
      </c>
      <c r="L14" s="126" t="s">
        <v>43</v>
      </c>
      <c r="M14" s="147">
        <v>46003</v>
      </c>
      <c r="N14" s="126" t="s">
        <v>4</v>
      </c>
      <c r="O14" s="126"/>
      <c r="P14" s="7"/>
      <c r="Q14" s="101"/>
      <c r="R14" s="7"/>
      <c r="S14" s="7"/>
      <c r="T14" s="7"/>
      <c r="U14" s="7"/>
      <c r="V14" s="7"/>
      <c r="W14" s="7"/>
      <c r="X14" s="7"/>
      <c r="Y14" s="7"/>
      <c r="Z14" s="7"/>
    </row>
    <row r="15" spans="1:26" ht="12.75" customHeight="1" outlineLevel="1">
      <c r="A15" s="126" t="s">
        <v>303</v>
      </c>
      <c r="B15" s="126" t="s">
        <v>304</v>
      </c>
      <c r="C15" s="126" t="s">
        <v>305</v>
      </c>
      <c r="D15" s="126" t="s">
        <v>306</v>
      </c>
      <c r="E15" s="126" t="s">
        <v>307</v>
      </c>
      <c r="F15" s="126" t="s">
        <v>43</v>
      </c>
      <c r="G15" s="147">
        <v>45998</v>
      </c>
      <c r="H15" s="126" t="s">
        <v>4</v>
      </c>
      <c r="I15" s="126" t="s">
        <v>43</v>
      </c>
      <c r="J15" s="147">
        <v>46001</v>
      </c>
      <c r="K15" s="126" t="s">
        <v>4</v>
      </c>
      <c r="L15" s="126" t="s">
        <v>43</v>
      </c>
      <c r="M15" s="147">
        <v>46003</v>
      </c>
      <c r="N15" s="126" t="s">
        <v>4</v>
      </c>
      <c r="O15" s="126"/>
      <c r="P15" s="7"/>
      <c r="Q15" s="101"/>
      <c r="R15" s="7"/>
      <c r="S15" s="7"/>
      <c r="T15" s="7"/>
      <c r="U15" s="7"/>
      <c r="V15" s="7"/>
      <c r="W15" s="7"/>
      <c r="X15" s="7"/>
      <c r="Y15" s="7"/>
      <c r="Z15" s="7"/>
    </row>
    <row r="16" spans="1:26" ht="12.75" customHeight="1" outlineLevel="1">
      <c r="A16" s="126" t="s">
        <v>308</v>
      </c>
      <c r="B16" s="126" t="s">
        <v>309</v>
      </c>
      <c r="C16" s="126" t="s">
        <v>310</v>
      </c>
      <c r="D16" s="126" t="s">
        <v>311</v>
      </c>
      <c r="E16" s="126" t="s">
        <v>307</v>
      </c>
      <c r="F16" s="126" t="s">
        <v>43</v>
      </c>
      <c r="G16" s="147">
        <v>45998</v>
      </c>
      <c r="H16" s="126" t="s">
        <v>4</v>
      </c>
      <c r="I16" s="126" t="s">
        <v>43</v>
      </c>
      <c r="J16" s="147">
        <v>46001</v>
      </c>
      <c r="K16" s="126" t="s">
        <v>4</v>
      </c>
      <c r="L16" s="126" t="s">
        <v>43</v>
      </c>
      <c r="M16" s="147">
        <v>46003</v>
      </c>
      <c r="N16" s="126" t="s">
        <v>4</v>
      </c>
      <c r="O16" s="126"/>
      <c r="P16" s="7"/>
      <c r="Q16" s="101"/>
      <c r="R16" s="7"/>
      <c r="S16" s="7"/>
      <c r="T16" s="7"/>
      <c r="U16" s="7"/>
      <c r="V16" s="7"/>
      <c r="W16" s="7"/>
      <c r="X16" s="7"/>
      <c r="Y16" s="7"/>
      <c r="Z16" s="7"/>
    </row>
    <row r="17" spans="1:26" ht="12.75" customHeight="1" outlineLevel="1">
      <c r="A17" s="126" t="s">
        <v>312</v>
      </c>
      <c r="B17" s="126" t="s">
        <v>313</v>
      </c>
      <c r="C17" s="126" t="s">
        <v>314</v>
      </c>
      <c r="D17" s="126" t="s">
        <v>315</v>
      </c>
      <c r="E17" s="126" t="s">
        <v>307</v>
      </c>
      <c r="F17" s="126" t="s">
        <v>43</v>
      </c>
      <c r="G17" s="147">
        <v>45998</v>
      </c>
      <c r="H17" s="126" t="s">
        <v>4</v>
      </c>
      <c r="I17" s="126" t="s">
        <v>43</v>
      </c>
      <c r="J17" s="147">
        <v>46001</v>
      </c>
      <c r="K17" s="126" t="s">
        <v>4</v>
      </c>
      <c r="L17" s="126" t="s">
        <v>43</v>
      </c>
      <c r="M17" s="147">
        <v>46003</v>
      </c>
      <c r="N17" s="126" t="s">
        <v>4</v>
      </c>
      <c r="O17" s="126"/>
      <c r="P17" s="7"/>
      <c r="Q17" s="101"/>
      <c r="R17" s="7"/>
      <c r="S17" s="7"/>
      <c r="T17" s="7"/>
      <c r="U17" s="7"/>
      <c r="V17" s="7"/>
      <c r="W17" s="7"/>
      <c r="X17" s="7"/>
      <c r="Y17" s="7"/>
      <c r="Z17" s="7"/>
    </row>
    <row r="18" spans="1:26" ht="12.75" customHeight="1" outlineLevel="1">
      <c r="A18" s="126" t="s">
        <v>316</v>
      </c>
      <c r="B18" s="126" t="s">
        <v>317</v>
      </c>
      <c r="C18" s="126" t="s">
        <v>318</v>
      </c>
      <c r="D18" s="126" t="s">
        <v>319</v>
      </c>
      <c r="E18" s="126" t="s">
        <v>307</v>
      </c>
      <c r="F18" s="126" t="s">
        <v>43</v>
      </c>
      <c r="G18" s="147">
        <v>45998</v>
      </c>
      <c r="H18" s="126" t="s">
        <v>4</v>
      </c>
      <c r="I18" s="126" t="s">
        <v>43</v>
      </c>
      <c r="J18" s="147">
        <v>46001</v>
      </c>
      <c r="K18" s="126" t="s">
        <v>4</v>
      </c>
      <c r="L18" s="126" t="s">
        <v>43</v>
      </c>
      <c r="M18" s="147">
        <v>46003</v>
      </c>
      <c r="N18" s="126" t="s">
        <v>4</v>
      </c>
      <c r="O18" s="126"/>
      <c r="P18" s="7"/>
      <c r="Q18" s="101"/>
      <c r="R18" s="7"/>
      <c r="S18" s="7"/>
      <c r="T18" s="7"/>
      <c r="U18" s="7"/>
      <c r="V18" s="7"/>
      <c r="W18" s="7"/>
      <c r="X18" s="7"/>
      <c r="Y18" s="7"/>
      <c r="Z18" s="7"/>
    </row>
    <row r="19" spans="1:26" ht="12.75" customHeight="1" outlineLevel="1">
      <c r="A19" s="126" t="s">
        <v>320</v>
      </c>
      <c r="B19" s="126" t="s">
        <v>321</v>
      </c>
      <c r="C19" s="126" t="s">
        <v>322</v>
      </c>
      <c r="D19" s="126" t="s">
        <v>323</v>
      </c>
      <c r="E19" s="126" t="s">
        <v>307</v>
      </c>
      <c r="F19" s="126" t="s">
        <v>43</v>
      </c>
      <c r="G19" s="147">
        <v>45998</v>
      </c>
      <c r="H19" s="126" t="s">
        <v>4</v>
      </c>
      <c r="I19" s="126" t="s">
        <v>43</v>
      </c>
      <c r="J19" s="147">
        <v>46001</v>
      </c>
      <c r="K19" s="126" t="s">
        <v>4</v>
      </c>
      <c r="L19" s="126" t="s">
        <v>43</v>
      </c>
      <c r="M19" s="147">
        <v>46003</v>
      </c>
      <c r="N19" s="126" t="s">
        <v>4</v>
      </c>
      <c r="O19" s="126"/>
      <c r="P19" s="7"/>
      <c r="Q19" s="101"/>
      <c r="R19" s="7"/>
      <c r="S19" s="7"/>
      <c r="T19" s="7"/>
      <c r="U19" s="7"/>
      <c r="V19" s="7"/>
      <c r="W19" s="7"/>
      <c r="X19" s="7"/>
      <c r="Y19" s="7"/>
      <c r="Z19" s="7"/>
    </row>
    <row r="20" spans="1:26" ht="12.75" customHeight="1" outlineLevel="1">
      <c r="A20" s="126" t="s">
        <v>324</v>
      </c>
      <c r="B20" s="126" t="s">
        <v>325</v>
      </c>
      <c r="C20" s="126" t="s">
        <v>326</v>
      </c>
      <c r="D20" s="126" t="s">
        <v>323</v>
      </c>
      <c r="E20" s="126" t="s">
        <v>307</v>
      </c>
      <c r="F20" s="126" t="s">
        <v>43</v>
      </c>
      <c r="G20" s="147">
        <v>45998</v>
      </c>
      <c r="H20" s="126" t="s">
        <v>4</v>
      </c>
      <c r="I20" s="126" t="s">
        <v>43</v>
      </c>
      <c r="J20" s="147">
        <v>46001</v>
      </c>
      <c r="K20" s="126" t="s">
        <v>4</v>
      </c>
      <c r="L20" s="126" t="s">
        <v>43</v>
      </c>
      <c r="M20" s="147">
        <v>46003</v>
      </c>
      <c r="N20" s="126" t="s">
        <v>4</v>
      </c>
      <c r="O20" s="126"/>
      <c r="P20" s="7"/>
      <c r="Q20" s="101"/>
      <c r="R20" s="7"/>
      <c r="S20" s="7"/>
      <c r="T20" s="7"/>
      <c r="U20" s="7"/>
      <c r="V20" s="7"/>
      <c r="W20" s="7"/>
      <c r="X20" s="7"/>
      <c r="Y20" s="7"/>
      <c r="Z20" s="7"/>
    </row>
    <row r="21" spans="1:26" ht="12.75" customHeight="1" outlineLevel="1">
      <c r="A21" s="126" t="s">
        <v>327</v>
      </c>
      <c r="B21" s="126" t="s">
        <v>328</v>
      </c>
      <c r="C21" s="126" t="s">
        <v>326</v>
      </c>
      <c r="D21" s="126" t="s">
        <v>329</v>
      </c>
      <c r="E21" s="126" t="s">
        <v>307</v>
      </c>
      <c r="F21" s="126" t="s">
        <v>43</v>
      </c>
      <c r="G21" s="147">
        <v>45998</v>
      </c>
      <c r="H21" s="126" t="s">
        <v>4</v>
      </c>
      <c r="I21" s="126" t="s">
        <v>43</v>
      </c>
      <c r="J21" s="147">
        <v>46001</v>
      </c>
      <c r="K21" s="126" t="s">
        <v>4</v>
      </c>
      <c r="L21" s="126" t="s">
        <v>43</v>
      </c>
      <c r="M21" s="147">
        <v>46003</v>
      </c>
      <c r="N21" s="126" t="s">
        <v>4</v>
      </c>
      <c r="O21" s="126"/>
      <c r="P21" s="7"/>
      <c r="Q21" s="101"/>
      <c r="R21" s="7"/>
      <c r="S21" s="7"/>
      <c r="T21" s="7"/>
      <c r="U21" s="7"/>
      <c r="V21" s="7"/>
      <c r="W21" s="7"/>
      <c r="X21" s="7"/>
      <c r="Y21" s="7"/>
      <c r="Z21" s="7"/>
    </row>
    <row r="22" spans="1:26" ht="15.75" customHeight="1">
      <c r="A22" s="148" t="s">
        <v>330</v>
      </c>
      <c r="B22" s="148"/>
      <c r="C22" s="149"/>
      <c r="D22" s="149"/>
      <c r="E22" s="149"/>
      <c r="F22" s="149"/>
      <c r="G22" s="149"/>
      <c r="H22" s="149"/>
      <c r="I22" s="149"/>
      <c r="J22" s="149"/>
      <c r="K22" s="149"/>
      <c r="L22" s="149"/>
      <c r="M22" s="149"/>
      <c r="N22" s="149"/>
      <c r="O22" s="150"/>
      <c r="P22" s="7"/>
      <c r="Q22" s="101"/>
      <c r="R22" s="7"/>
      <c r="S22" s="7"/>
      <c r="T22" s="7"/>
      <c r="U22" s="7"/>
      <c r="V22" s="7"/>
      <c r="W22" s="7"/>
      <c r="X22" s="7"/>
      <c r="Y22" s="7"/>
      <c r="Z22" s="7"/>
    </row>
    <row r="23" spans="1:26" ht="12.75" customHeight="1" outlineLevel="1">
      <c r="A23" s="126" t="s">
        <v>331</v>
      </c>
      <c r="B23" s="126" t="s">
        <v>332</v>
      </c>
      <c r="C23" s="126" t="s">
        <v>333</v>
      </c>
      <c r="D23" s="126" t="s">
        <v>334</v>
      </c>
      <c r="E23" s="126" t="s">
        <v>335</v>
      </c>
      <c r="F23" s="126" t="s">
        <v>43</v>
      </c>
      <c r="G23" s="147">
        <v>45998</v>
      </c>
      <c r="H23" s="126" t="s">
        <v>4</v>
      </c>
      <c r="I23" s="126" t="s">
        <v>43</v>
      </c>
      <c r="J23" s="147">
        <v>46001</v>
      </c>
      <c r="K23" s="126" t="s">
        <v>4</v>
      </c>
      <c r="L23" s="126" t="s">
        <v>43</v>
      </c>
      <c r="M23" s="151">
        <v>46003</v>
      </c>
      <c r="N23" s="126" t="s">
        <v>4</v>
      </c>
      <c r="O23" s="126"/>
      <c r="P23" s="7"/>
      <c r="Q23" s="101"/>
      <c r="R23" s="7"/>
      <c r="S23" s="7"/>
      <c r="T23" s="7"/>
      <c r="U23" s="7"/>
      <c r="V23" s="7"/>
      <c r="W23" s="7"/>
      <c r="X23" s="7"/>
      <c r="Y23" s="7"/>
      <c r="Z23" s="7"/>
    </row>
    <row r="24" spans="1:26" ht="12.75" customHeight="1" outlineLevel="1">
      <c r="A24" s="126" t="s">
        <v>336</v>
      </c>
      <c r="B24" s="126" t="s">
        <v>337</v>
      </c>
      <c r="C24" s="126" t="s">
        <v>338</v>
      </c>
      <c r="D24" s="126" t="s">
        <v>339</v>
      </c>
      <c r="E24" s="126" t="s">
        <v>340</v>
      </c>
      <c r="F24" s="126" t="s">
        <v>43</v>
      </c>
      <c r="G24" s="147">
        <v>45998</v>
      </c>
      <c r="H24" s="126" t="s">
        <v>4</v>
      </c>
      <c r="I24" s="126" t="s">
        <v>43</v>
      </c>
      <c r="J24" s="147">
        <v>46001</v>
      </c>
      <c r="K24" s="126" t="s">
        <v>4</v>
      </c>
      <c r="L24" s="126" t="s">
        <v>43</v>
      </c>
      <c r="M24" s="151">
        <v>46003</v>
      </c>
      <c r="N24" s="126" t="s">
        <v>4</v>
      </c>
      <c r="O24" s="126"/>
      <c r="P24" s="7"/>
      <c r="Q24" s="101"/>
      <c r="R24" s="7"/>
      <c r="S24" s="7"/>
      <c r="T24" s="7"/>
      <c r="U24" s="7"/>
      <c r="V24" s="7"/>
      <c r="W24" s="7"/>
      <c r="X24" s="7"/>
      <c r="Y24" s="7"/>
      <c r="Z24" s="7"/>
    </row>
    <row r="25" spans="1:26" ht="12.75" customHeight="1" outlineLevel="1">
      <c r="A25" s="126" t="s">
        <v>341</v>
      </c>
      <c r="B25" s="126" t="s">
        <v>342</v>
      </c>
      <c r="C25" s="126" t="s">
        <v>343</v>
      </c>
      <c r="D25" s="126" t="s">
        <v>344</v>
      </c>
      <c r="E25" s="126" t="s">
        <v>340</v>
      </c>
      <c r="F25" s="126" t="s">
        <v>43</v>
      </c>
      <c r="G25" s="147">
        <v>45998</v>
      </c>
      <c r="H25" s="126" t="s">
        <v>4</v>
      </c>
      <c r="I25" s="126" t="s">
        <v>43</v>
      </c>
      <c r="J25" s="147">
        <v>46001</v>
      </c>
      <c r="K25" s="126" t="s">
        <v>4</v>
      </c>
      <c r="L25" s="126" t="s">
        <v>43</v>
      </c>
      <c r="M25" s="151">
        <v>46003</v>
      </c>
      <c r="N25" s="126" t="s">
        <v>4</v>
      </c>
      <c r="O25" s="126"/>
      <c r="P25" s="7"/>
      <c r="Q25" s="101"/>
      <c r="R25" s="7"/>
      <c r="S25" s="7"/>
      <c r="T25" s="7"/>
      <c r="U25" s="7"/>
      <c r="V25" s="7"/>
      <c r="W25" s="7"/>
      <c r="X25" s="7"/>
      <c r="Y25" s="7"/>
      <c r="Z25" s="7"/>
    </row>
    <row r="26" spans="1:26" ht="12.75" customHeight="1" outlineLevel="1">
      <c r="A26" s="126" t="s">
        <v>345</v>
      </c>
      <c r="B26" s="126" t="s">
        <v>346</v>
      </c>
      <c r="C26" s="126" t="s">
        <v>347</v>
      </c>
      <c r="D26" s="126" t="s">
        <v>348</v>
      </c>
      <c r="E26" s="126" t="s">
        <v>349</v>
      </c>
      <c r="F26" s="126" t="s">
        <v>43</v>
      </c>
      <c r="G26" s="147">
        <v>45998</v>
      </c>
      <c r="H26" s="126" t="s">
        <v>4</v>
      </c>
      <c r="I26" s="126" t="s">
        <v>43</v>
      </c>
      <c r="J26" s="147">
        <v>46001</v>
      </c>
      <c r="K26" s="126" t="s">
        <v>4</v>
      </c>
      <c r="L26" s="126" t="s">
        <v>43</v>
      </c>
      <c r="M26" s="151">
        <v>46003</v>
      </c>
      <c r="N26" s="126" t="s">
        <v>4</v>
      </c>
      <c r="O26" s="126"/>
      <c r="P26" s="7"/>
      <c r="Q26" s="101"/>
      <c r="R26" s="7"/>
      <c r="S26" s="7"/>
      <c r="T26" s="7"/>
      <c r="U26" s="7"/>
      <c r="V26" s="7"/>
      <c r="W26" s="7"/>
      <c r="X26" s="7"/>
      <c r="Y26" s="7"/>
      <c r="Z26" s="7"/>
    </row>
    <row r="27" spans="1:26" ht="12.75" customHeight="1" outlineLevel="1">
      <c r="A27" s="126" t="s">
        <v>350</v>
      </c>
      <c r="B27" s="126" t="s">
        <v>351</v>
      </c>
      <c r="C27" s="126" t="s">
        <v>352</v>
      </c>
      <c r="D27" s="126" t="s">
        <v>353</v>
      </c>
      <c r="E27" s="126" t="s">
        <v>354</v>
      </c>
      <c r="F27" s="126" t="s">
        <v>43</v>
      </c>
      <c r="G27" s="147">
        <v>45998</v>
      </c>
      <c r="H27" s="126" t="s">
        <v>4</v>
      </c>
      <c r="I27" s="126" t="s">
        <v>43</v>
      </c>
      <c r="J27" s="147">
        <v>46001</v>
      </c>
      <c r="K27" s="126" t="s">
        <v>4</v>
      </c>
      <c r="L27" s="126" t="s">
        <v>43</v>
      </c>
      <c r="M27" s="151">
        <v>46003</v>
      </c>
      <c r="N27" s="126" t="s">
        <v>4</v>
      </c>
      <c r="O27" s="126"/>
      <c r="P27" s="7"/>
      <c r="Q27" s="101"/>
      <c r="R27" s="7"/>
      <c r="S27" s="7"/>
      <c r="T27" s="7"/>
      <c r="U27" s="7"/>
      <c r="V27" s="7"/>
      <c r="W27" s="7"/>
      <c r="X27" s="7"/>
      <c r="Y27" s="7"/>
      <c r="Z27" s="7"/>
    </row>
    <row r="28" spans="1:26" ht="12.75" customHeight="1" outlineLevel="1">
      <c r="A28" s="126" t="s">
        <v>355</v>
      </c>
      <c r="B28" s="126" t="s">
        <v>356</v>
      </c>
      <c r="C28" s="126" t="s">
        <v>357</v>
      </c>
      <c r="D28" s="126" t="s">
        <v>358</v>
      </c>
      <c r="E28" s="126" t="s">
        <v>340</v>
      </c>
      <c r="F28" s="126" t="s">
        <v>43</v>
      </c>
      <c r="G28" s="147">
        <v>45998</v>
      </c>
      <c r="H28" s="126" t="s">
        <v>4</v>
      </c>
      <c r="I28" s="126" t="s">
        <v>43</v>
      </c>
      <c r="J28" s="147">
        <v>46001</v>
      </c>
      <c r="K28" s="126" t="s">
        <v>4</v>
      </c>
      <c r="L28" s="126" t="s">
        <v>43</v>
      </c>
      <c r="M28" s="151">
        <v>46003</v>
      </c>
      <c r="N28" s="126" t="s">
        <v>4</v>
      </c>
      <c r="O28" s="126"/>
      <c r="P28" s="7"/>
      <c r="Q28" s="101"/>
      <c r="R28" s="7"/>
      <c r="S28" s="7"/>
      <c r="T28" s="7"/>
      <c r="U28" s="7"/>
      <c r="V28" s="7"/>
      <c r="W28" s="7"/>
      <c r="X28" s="7"/>
      <c r="Y28" s="7"/>
      <c r="Z28" s="7"/>
    </row>
    <row r="29" spans="1:26" ht="12.75" customHeight="1" outlineLevel="1">
      <c r="A29" s="126" t="s">
        <v>359</v>
      </c>
      <c r="B29" s="126" t="s">
        <v>360</v>
      </c>
      <c r="C29" s="126" t="s">
        <v>361</v>
      </c>
      <c r="D29" s="126" t="s">
        <v>362</v>
      </c>
      <c r="E29" s="126" t="s">
        <v>363</v>
      </c>
      <c r="F29" s="126" t="s">
        <v>43</v>
      </c>
      <c r="G29" s="147">
        <v>45998</v>
      </c>
      <c r="H29" s="126" t="s">
        <v>4</v>
      </c>
      <c r="I29" s="126" t="s">
        <v>43</v>
      </c>
      <c r="J29" s="147">
        <v>46001</v>
      </c>
      <c r="K29" s="126" t="s">
        <v>4</v>
      </c>
      <c r="L29" s="126" t="s">
        <v>43</v>
      </c>
      <c r="M29" s="151">
        <v>46003</v>
      </c>
      <c r="N29" s="126" t="s">
        <v>4</v>
      </c>
      <c r="O29" s="126"/>
      <c r="P29" s="7"/>
      <c r="Q29" s="101"/>
      <c r="R29" s="7"/>
      <c r="S29" s="7"/>
      <c r="T29" s="7"/>
      <c r="U29" s="7"/>
      <c r="V29" s="7"/>
      <c r="W29" s="7"/>
      <c r="X29" s="7"/>
      <c r="Y29" s="7"/>
      <c r="Z29" s="7"/>
    </row>
    <row r="30" spans="1:26" ht="12.75" customHeight="1" outlineLevel="1">
      <c r="A30" s="126" t="s">
        <v>364</v>
      </c>
      <c r="B30" s="126" t="s">
        <v>365</v>
      </c>
      <c r="C30" s="126" t="s">
        <v>366</v>
      </c>
      <c r="D30" s="126" t="s">
        <v>367</v>
      </c>
      <c r="E30" s="126" t="s">
        <v>363</v>
      </c>
      <c r="F30" s="126" t="s">
        <v>43</v>
      </c>
      <c r="G30" s="147">
        <v>45998</v>
      </c>
      <c r="H30" s="126" t="s">
        <v>4</v>
      </c>
      <c r="I30" s="126" t="s">
        <v>43</v>
      </c>
      <c r="J30" s="147">
        <v>46001</v>
      </c>
      <c r="K30" s="126" t="s">
        <v>4</v>
      </c>
      <c r="L30" s="126" t="s">
        <v>43</v>
      </c>
      <c r="M30" s="151">
        <v>46003</v>
      </c>
      <c r="N30" s="126" t="s">
        <v>4</v>
      </c>
      <c r="O30" s="126"/>
      <c r="P30" s="7"/>
      <c r="Q30" s="101"/>
      <c r="R30" s="7"/>
      <c r="S30" s="7"/>
      <c r="T30" s="7"/>
      <c r="U30" s="7"/>
      <c r="V30" s="7"/>
      <c r="W30" s="7"/>
      <c r="X30" s="7"/>
      <c r="Y30" s="7"/>
      <c r="Z30" s="7"/>
    </row>
    <row r="31" spans="1:26" ht="12.75" customHeight="1" outlineLevel="1">
      <c r="A31" s="126" t="s">
        <v>368</v>
      </c>
      <c r="B31" s="126" t="s">
        <v>369</v>
      </c>
      <c r="C31" s="126" t="s">
        <v>370</v>
      </c>
      <c r="D31" s="126" t="s">
        <v>371</v>
      </c>
      <c r="E31" s="126" t="s">
        <v>363</v>
      </c>
      <c r="F31" s="126" t="s">
        <v>43</v>
      </c>
      <c r="G31" s="147">
        <v>45998</v>
      </c>
      <c r="H31" s="126" t="s">
        <v>4</v>
      </c>
      <c r="I31" s="126" t="s">
        <v>43</v>
      </c>
      <c r="J31" s="147">
        <v>46001</v>
      </c>
      <c r="K31" s="126" t="s">
        <v>4</v>
      </c>
      <c r="L31" s="126" t="s">
        <v>43</v>
      </c>
      <c r="M31" s="151">
        <v>46003</v>
      </c>
      <c r="N31" s="126" t="s">
        <v>4</v>
      </c>
      <c r="O31" s="126"/>
      <c r="P31" s="7"/>
      <c r="Q31" s="101"/>
      <c r="R31" s="7"/>
      <c r="S31" s="7"/>
      <c r="T31" s="7"/>
      <c r="U31" s="7"/>
      <c r="V31" s="7"/>
      <c r="W31" s="7"/>
      <c r="X31" s="7"/>
      <c r="Y31" s="7"/>
      <c r="Z31" s="7"/>
    </row>
    <row r="32" spans="1:26" ht="12.75" customHeight="1" outlineLevel="1">
      <c r="A32" s="126" t="s">
        <v>372</v>
      </c>
      <c r="B32" s="126" t="s">
        <v>373</v>
      </c>
      <c r="C32" s="126" t="s">
        <v>374</v>
      </c>
      <c r="D32" s="126" t="s">
        <v>375</v>
      </c>
      <c r="E32" s="126" t="s">
        <v>363</v>
      </c>
      <c r="F32" s="126" t="s">
        <v>43</v>
      </c>
      <c r="G32" s="147">
        <v>45998</v>
      </c>
      <c r="H32" s="126" t="s">
        <v>4</v>
      </c>
      <c r="I32" s="126" t="s">
        <v>43</v>
      </c>
      <c r="J32" s="147">
        <v>46001</v>
      </c>
      <c r="K32" s="126" t="s">
        <v>4</v>
      </c>
      <c r="L32" s="126" t="s">
        <v>43</v>
      </c>
      <c r="M32" s="151">
        <v>46003</v>
      </c>
      <c r="N32" s="126" t="s">
        <v>4</v>
      </c>
      <c r="O32" s="126"/>
      <c r="P32" s="7"/>
      <c r="Q32" s="101"/>
      <c r="R32" s="7"/>
      <c r="S32" s="7"/>
      <c r="T32" s="7"/>
      <c r="U32" s="7"/>
      <c r="V32" s="7"/>
      <c r="W32" s="7"/>
      <c r="X32" s="7"/>
      <c r="Y32" s="7"/>
      <c r="Z32" s="7"/>
    </row>
    <row r="33" spans="1:26" ht="12.75" customHeight="1" outlineLevel="1">
      <c r="A33" s="126" t="s">
        <v>376</v>
      </c>
      <c r="B33" s="126" t="s">
        <v>377</v>
      </c>
      <c r="C33" s="126" t="s">
        <v>378</v>
      </c>
      <c r="D33" s="126" t="s">
        <v>379</v>
      </c>
      <c r="E33" s="126" t="s">
        <v>363</v>
      </c>
      <c r="F33" s="126" t="s">
        <v>43</v>
      </c>
      <c r="G33" s="147">
        <v>45998</v>
      </c>
      <c r="H33" s="126" t="s">
        <v>4</v>
      </c>
      <c r="I33" s="126" t="s">
        <v>43</v>
      </c>
      <c r="J33" s="147">
        <v>46001</v>
      </c>
      <c r="K33" s="126" t="s">
        <v>4</v>
      </c>
      <c r="L33" s="126" t="s">
        <v>43</v>
      </c>
      <c r="M33" s="151">
        <v>46003</v>
      </c>
      <c r="N33" s="126" t="s">
        <v>4</v>
      </c>
      <c r="O33" s="126"/>
      <c r="P33" s="7"/>
      <c r="Q33" s="101"/>
      <c r="R33" s="7"/>
      <c r="S33" s="7"/>
      <c r="T33" s="7"/>
      <c r="U33" s="7"/>
      <c r="V33" s="7"/>
      <c r="W33" s="7"/>
      <c r="X33" s="7"/>
      <c r="Y33" s="7"/>
      <c r="Z33" s="7"/>
    </row>
    <row r="34" spans="1:26" ht="12.75" customHeight="1" outlineLevel="1">
      <c r="A34" s="126" t="s">
        <v>380</v>
      </c>
      <c r="B34" s="126" t="s">
        <v>381</v>
      </c>
      <c r="C34" s="126" t="s">
        <v>382</v>
      </c>
      <c r="D34" s="126" t="s">
        <v>383</v>
      </c>
      <c r="E34" s="126" t="s">
        <v>363</v>
      </c>
      <c r="F34" s="126" t="s">
        <v>43</v>
      </c>
      <c r="G34" s="147">
        <v>45998</v>
      </c>
      <c r="H34" s="126" t="s">
        <v>4</v>
      </c>
      <c r="I34" s="126" t="s">
        <v>43</v>
      </c>
      <c r="J34" s="147">
        <v>46001</v>
      </c>
      <c r="K34" s="126" t="s">
        <v>4</v>
      </c>
      <c r="L34" s="126" t="s">
        <v>43</v>
      </c>
      <c r="M34" s="151">
        <v>46003</v>
      </c>
      <c r="N34" s="126" t="s">
        <v>4</v>
      </c>
      <c r="O34" s="126"/>
      <c r="P34" s="7"/>
      <c r="Q34" s="101"/>
      <c r="R34" s="7"/>
      <c r="S34" s="7"/>
      <c r="T34" s="7"/>
      <c r="U34" s="7"/>
      <c r="V34" s="7"/>
      <c r="W34" s="7"/>
      <c r="X34" s="7"/>
      <c r="Y34" s="7"/>
      <c r="Z34" s="7"/>
    </row>
    <row r="35" spans="1:26" ht="12.75" customHeight="1" outlineLevel="1">
      <c r="A35" s="126" t="s">
        <v>384</v>
      </c>
      <c r="B35" s="126" t="s">
        <v>385</v>
      </c>
      <c r="C35" s="126" t="s">
        <v>386</v>
      </c>
      <c r="D35" s="126" t="s">
        <v>387</v>
      </c>
      <c r="E35" s="126" t="s">
        <v>388</v>
      </c>
      <c r="F35" s="126" t="s">
        <v>43</v>
      </c>
      <c r="G35" s="147">
        <v>45998</v>
      </c>
      <c r="H35" s="126" t="s">
        <v>4</v>
      </c>
      <c r="I35" s="126" t="s">
        <v>43</v>
      </c>
      <c r="J35" s="147">
        <v>46001</v>
      </c>
      <c r="K35" s="126" t="s">
        <v>4</v>
      </c>
      <c r="L35" s="126" t="s">
        <v>43</v>
      </c>
      <c r="M35" s="151">
        <v>46003</v>
      </c>
      <c r="N35" s="126" t="s">
        <v>4</v>
      </c>
      <c r="O35" s="126"/>
      <c r="P35" s="7"/>
      <c r="Q35" s="101"/>
      <c r="R35" s="7"/>
      <c r="S35" s="7"/>
      <c r="T35" s="7"/>
      <c r="U35" s="7"/>
      <c r="V35" s="7"/>
      <c r="W35" s="7"/>
      <c r="X35" s="7"/>
      <c r="Y35" s="7"/>
      <c r="Z35" s="7"/>
    </row>
    <row r="36" spans="1:26" ht="12.75" customHeight="1" outlineLevel="1">
      <c r="A36" s="126" t="s">
        <v>389</v>
      </c>
      <c r="B36" s="126" t="s">
        <v>390</v>
      </c>
      <c r="C36" s="126" t="s">
        <v>391</v>
      </c>
      <c r="D36" s="126" t="s">
        <v>392</v>
      </c>
      <c r="E36" s="126" t="s">
        <v>393</v>
      </c>
      <c r="F36" s="126" t="s">
        <v>43</v>
      </c>
      <c r="G36" s="147">
        <v>45998</v>
      </c>
      <c r="H36" s="126" t="s">
        <v>4</v>
      </c>
      <c r="I36" s="126" t="s">
        <v>43</v>
      </c>
      <c r="J36" s="147">
        <v>46001</v>
      </c>
      <c r="K36" s="126" t="s">
        <v>4</v>
      </c>
      <c r="L36" s="126" t="s">
        <v>43</v>
      </c>
      <c r="M36" s="151">
        <v>46003</v>
      </c>
      <c r="N36" s="126" t="s">
        <v>4</v>
      </c>
      <c r="O36" s="126"/>
      <c r="P36" s="7"/>
      <c r="Q36" s="101"/>
      <c r="R36" s="7"/>
      <c r="S36" s="7"/>
      <c r="T36" s="7"/>
      <c r="U36" s="7"/>
      <c r="V36" s="7"/>
      <c r="W36" s="7"/>
      <c r="X36" s="7"/>
      <c r="Y36" s="7"/>
      <c r="Z36" s="7"/>
    </row>
    <row r="37" spans="1:26" ht="12.75" customHeight="1" outlineLevel="1">
      <c r="A37" s="126" t="s">
        <v>394</v>
      </c>
      <c r="B37" s="126" t="s">
        <v>395</v>
      </c>
      <c r="C37" s="126" t="s">
        <v>396</v>
      </c>
      <c r="D37" s="126" t="s">
        <v>397</v>
      </c>
      <c r="E37" s="126" t="s">
        <v>398</v>
      </c>
      <c r="F37" s="126" t="s">
        <v>43</v>
      </c>
      <c r="G37" s="147">
        <v>45998</v>
      </c>
      <c r="H37" s="126" t="s">
        <v>4</v>
      </c>
      <c r="I37" s="126" t="s">
        <v>43</v>
      </c>
      <c r="J37" s="147">
        <v>46001</v>
      </c>
      <c r="K37" s="126" t="s">
        <v>4</v>
      </c>
      <c r="L37" s="126" t="s">
        <v>43</v>
      </c>
      <c r="M37" s="151">
        <v>46003</v>
      </c>
      <c r="N37" s="126" t="s">
        <v>4</v>
      </c>
      <c r="O37" s="126"/>
      <c r="P37" s="7"/>
      <c r="Q37" s="101"/>
      <c r="R37" s="7"/>
      <c r="S37" s="7"/>
      <c r="T37" s="7"/>
      <c r="U37" s="7"/>
      <c r="V37" s="7"/>
      <c r="W37" s="7"/>
      <c r="X37" s="7"/>
      <c r="Y37" s="7"/>
      <c r="Z37" s="7"/>
    </row>
    <row r="38" spans="1:26" ht="12.75" customHeight="1" outlineLevel="1">
      <c r="A38" s="126" t="s">
        <v>399</v>
      </c>
      <c r="B38" s="126" t="s">
        <v>400</v>
      </c>
      <c r="C38" s="126" t="s">
        <v>401</v>
      </c>
      <c r="D38" s="126" t="s">
        <v>402</v>
      </c>
      <c r="E38" s="126" t="s">
        <v>398</v>
      </c>
      <c r="F38" s="126" t="s">
        <v>43</v>
      </c>
      <c r="G38" s="147">
        <v>45998</v>
      </c>
      <c r="H38" s="126" t="s">
        <v>4</v>
      </c>
      <c r="I38" s="126" t="s">
        <v>43</v>
      </c>
      <c r="J38" s="147">
        <v>46001</v>
      </c>
      <c r="K38" s="126" t="s">
        <v>4</v>
      </c>
      <c r="L38" s="126" t="s">
        <v>43</v>
      </c>
      <c r="M38" s="151">
        <v>46003</v>
      </c>
      <c r="N38" s="126" t="s">
        <v>4</v>
      </c>
      <c r="O38" s="126"/>
      <c r="P38" s="7"/>
      <c r="Q38" s="101"/>
      <c r="R38" s="7"/>
      <c r="S38" s="7"/>
      <c r="T38" s="7"/>
      <c r="U38" s="7"/>
      <c r="V38" s="7"/>
      <c r="W38" s="7"/>
      <c r="X38" s="7"/>
      <c r="Y38" s="7"/>
      <c r="Z38" s="7"/>
    </row>
    <row r="39" spans="1:26" ht="12.75" customHeight="1" outlineLevel="1">
      <c r="A39" s="126" t="s">
        <v>403</v>
      </c>
      <c r="B39" s="126" t="s">
        <v>404</v>
      </c>
      <c r="C39" s="126" t="s">
        <v>405</v>
      </c>
      <c r="D39" s="126" t="s">
        <v>406</v>
      </c>
      <c r="E39" s="126" t="s">
        <v>407</v>
      </c>
      <c r="F39" s="126" t="s">
        <v>43</v>
      </c>
      <c r="G39" s="147">
        <v>45998</v>
      </c>
      <c r="H39" s="126" t="s">
        <v>4</v>
      </c>
      <c r="I39" s="126" t="s">
        <v>43</v>
      </c>
      <c r="J39" s="147">
        <v>46001</v>
      </c>
      <c r="K39" s="126" t="s">
        <v>4</v>
      </c>
      <c r="L39" s="126" t="s">
        <v>43</v>
      </c>
      <c r="M39" s="151">
        <v>46003</v>
      </c>
      <c r="N39" s="126" t="s">
        <v>4</v>
      </c>
      <c r="O39" s="126"/>
      <c r="P39" s="7"/>
      <c r="Q39" s="101"/>
      <c r="R39" s="7"/>
      <c r="S39" s="7"/>
      <c r="T39" s="7"/>
      <c r="U39" s="7"/>
      <c r="V39" s="7"/>
      <c r="W39" s="7"/>
      <c r="X39" s="7"/>
      <c r="Y39" s="7"/>
      <c r="Z39" s="7"/>
    </row>
    <row r="40" spans="1:26" ht="12.75" customHeight="1" outlineLevel="1">
      <c r="A40" s="126" t="s">
        <v>408</v>
      </c>
      <c r="B40" s="126" t="s">
        <v>409</v>
      </c>
      <c r="C40" s="126" t="s">
        <v>410</v>
      </c>
      <c r="D40" s="126" t="s">
        <v>411</v>
      </c>
      <c r="E40" s="126" t="s">
        <v>407</v>
      </c>
      <c r="F40" s="126" t="s">
        <v>43</v>
      </c>
      <c r="G40" s="147">
        <v>45998</v>
      </c>
      <c r="H40" s="126" t="s">
        <v>4</v>
      </c>
      <c r="I40" s="126" t="s">
        <v>43</v>
      </c>
      <c r="J40" s="147">
        <v>46001</v>
      </c>
      <c r="K40" s="126" t="s">
        <v>4</v>
      </c>
      <c r="L40" s="126" t="s">
        <v>43</v>
      </c>
      <c r="M40" s="151">
        <v>46003</v>
      </c>
      <c r="N40" s="126" t="s">
        <v>4</v>
      </c>
      <c r="O40" s="126"/>
      <c r="P40" s="7"/>
      <c r="Q40" s="101"/>
      <c r="R40" s="7"/>
      <c r="S40" s="7"/>
      <c r="T40" s="7"/>
      <c r="U40" s="7"/>
      <c r="V40" s="7"/>
      <c r="W40" s="7"/>
      <c r="X40" s="7"/>
      <c r="Y40" s="7"/>
      <c r="Z40" s="7"/>
    </row>
    <row r="41" spans="1:26" ht="12.75" customHeight="1" outlineLevel="1">
      <c r="A41" s="126" t="s">
        <v>412</v>
      </c>
      <c r="B41" s="126" t="s">
        <v>413</v>
      </c>
      <c r="C41" s="126" t="s">
        <v>414</v>
      </c>
      <c r="D41" s="126" t="s">
        <v>415</v>
      </c>
      <c r="E41" s="126" t="s">
        <v>407</v>
      </c>
      <c r="F41" s="126" t="s">
        <v>43</v>
      </c>
      <c r="G41" s="147">
        <v>45998</v>
      </c>
      <c r="H41" s="126" t="s">
        <v>4</v>
      </c>
      <c r="I41" s="126" t="s">
        <v>43</v>
      </c>
      <c r="J41" s="147">
        <v>46001</v>
      </c>
      <c r="K41" s="126" t="s">
        <v>4</v>
      </c>
      <c r="L41" s="126" t="s">
        <v>43</v>
      </c>
      <c r="M41" s="151">
        <v>46003</v>
      </c>
      <c r="N41" s="126" t="s">
        <v>4</v>
      </c>
      <c r="O41" s="126"/>
      <c r="P41" s="7"/>
      <c r="Q41" s="101"/>
      <c r="R41" s="7"/>
      <c r="S41" s="7"/>
      <c r="T41" s="7"/>
      <c r="U41" s="7"/>
      <c r="V41" s="7"/>
      <c r="W41" s="7"/>
      <c r="X41" s="7"/>
      <c r="Y41" s="7"/>
      <c r="Z41" s="7"/>
    </row>
    <row r="42" spans="1:26" ht="12.75" customHeight="1" outlineLevel="1">
      <c r="A42" s="126" t="s">
        <v>416</v>
      </c>
      <c r="B42" s="126" t="s">
        <v>417</v>
      </c>
      <c r="C42" s="126" t="s">
        <v>418</v>
      </c>
      <c r="D42" s="126" t="s">
        <v>419</v>
      </c>
      <c r="E42" s="126" t="s">
        <v>420</v>
      </c>
      <c r="F42" s="126" t="s">
        <v>43</v>
      </c>
      <c r="G42" s="147">
        <v>45998</v>
      </c>
      <c r="H42" s="126" t="s">
        <v>4</v>
      </c>
      <c r="I42" s="126" t="s">
        <v>43</v>
      </c>
      <c r="J42" s="147">
        <v>46001</v>
      </c>
      <c r="K42" s="126" t="s">
        <v>4</v>
      </c>
      <c r="L42" s="126" t="s">
        <v>43</v>
      </c>
      <c r="M42" s="151">
        <v>46003</v>
      </c>
      <c r="N42" s="126" t="s">
        <v>4</v>
      </c>
      <c r="O42" s="126"/>
      <c r="P42" s="7"/>
      <c r="Q42" s="101"/>
      <c r="R42" s="7"/>
      <c r="S42" s="7"/>
      <c r="T42" s="7"/>
      <c r="U42" s="7"/>
      <c r="V42" s="7"/>
      <c r="W42" s="7"/>
      <c r="X42" s="7"/>
      <c r="Y42" s="7"/>
      <c r="Z42" s="7"/>
    </row>
    <row r="43" spans="1:26" ht="12.75" customHeight="1" outlineLevel="1">
      <c r="A43" s="126" t="s">
        <v>421</v>
      </c>
      <c r="B43" s="126" t="s">
        <v>422</v>
      </c>
      <c r="C43" s="126" t="s">
        <v>423</v>
      </c>
      <c r="D43" s="126" t="s">
        <v>424</v>
      </c>
      <c r="E43" s="126" t="s">
        <v>425</v>
      </c>
      <c r="F43" s="126" t="s">
        <v>43</v>
      </c>
      <c r="G43" s="147">
        <v>45998</v>
      </c>
      <c r="H43" s="126" t="s">
        <v>4</v>
      </c>
      <c r="I43" s="126" t="s">
        <v>43</v>
      </c>
      <c r="J43" s="147">
        <v>46001</v>
      </c>
      <c r="K43" s="126" t="s">
        <v>4</v>
      </c>
      <c r="L43" s="126" t="s">
        <v>43</v>
      </c>
      <c r="M43" s="151">
        <v>46003</v>
      </c>
      <c r="N43" s="126" t="s">
        <v>4</v>
      </c>
      <c r="O43" s="126"/>
      <c r="P43" s="7"/>
      <c r="Q43" s="101"/>
      <c r="R43" s="7"/>
      <c r="S43" s="7"/>
      <c r="T43" s="7"/>
      <c r="U43" s="7"/>
      <c r="V43" s="7"/>
      <c r="W43" s="7"/>
      <c r="X43" s="7"/>
      <c r="Y43" s="7"/>
      <c r="Z43" s="7"/>
    </row>
    <row r="44" spans="1:26" ht="12.75" customHeight="1" outlineLevel="1">
      <c r="A44" s="126" t="s">
        <v>426</v>
      </c>
      <c r="B44" s="126" t="s">
        <v>427</v>
      </c>
      <c r="C44" s="126" t="s">
        <v>428</v>
      </c>
      <c r="D44" s="126" t="s">
        <v>429</v>
      </c>
      <c r="E44" s="126" t="s">
        <v>425</v>
      </c>
      <c r="F44" s="126" t="s">
        <v>43</v>
      </c>
      <c r="G44" s="147">
        <v>45998</v>
      </c>
      <c r="H44" s="126" t="s">
        <v>4</v>
      </c>
      <c r="I44" s="126" t="s">
        <v>43</v>
      </c>
      <c r="J44" s="147">
        <v>46001</v>
      </c>
      <c r="K44" s="126" t="s">
        <v>4</v>
      </c>
      <c r="L44" s="126" t="s">
        <v>43</v>
      </c>
      <c r="M44" s="151">
        <v>46003</v>
      </c>
      <c r="N44" s="126" t="s">
        <v>4</v>
      </c>
      <c r="O44" s="126"/>
      <c r="P44" s="7"/>
      <c r="Q44" s="101"/>
      <c r="R44" s="7"/>
      <c r="S44" s="7"/>
      <c r="T44" s="7"/>
      <c r="U44" s="7"/>
      <c r="V44" s="7"/>
      <c r="W44" s="7"/>
      <c r="X44" s="7"/>
      <c r="Y44" s="7"/>
      <c r="Z44" s="7"/>
    </row>
    <row r="45" spans="1:26" ht="12.75" customHeight="1" outlineLevel="1">
      <c r="A45" s="126" t="s">
        <v>430</v>
      </c>
      <c r="B45" s="126" t="s">
        <v>431</v>
      </c>
      <c r="C45" s="126" t="s">
        <v>432</v>
      </c>
      <c r="D45" s="126" t="s">
        <v>433</v>
      </c>
      <c r="E45" s="126" t="s">
        <v>434</v>
      </c>
      <c r="F45" s="126" t="s">
        <v>43</v>
      </c>
      <c r="G45" s="147">
        <v>45998</v>
      </c>
      <c r="H45" s="126" t="s">
        <v>4</v>
      </c>
      <c r="I45" s="126" t="s">
        <v>43</v>
      </c>
      <c r="J45" s="147">
        <v>46001</v>
      </c>
      <c r="K45" s="126" t="s">
        <v>4</v>
      </c>
      <c r="L45" s="126" t="s">
        <v>43</v>
      </c>
      <c r="M45" s="151">
        <v>46003</v>
      </c>
      <c r="N45" s="126" t="s">
        <v>4</v>
      </c>
      <c r="O45" s="126" t="s">
        <v>435</v>
      </c>
      <c r="P45" s="7"/>
      <c r="Q45" s="101"/>
      <c r="R45" s="7"/>
      <c r="S45" s="7"/>
      <c r="T45" s="7"/>
      <c r="U45" s="7"/>
      <c r="V45" s="7"/>
      <c r="W45" s="7"/>
      <c r="X45" s="7"/>
      <c r="Y45" s="7"/>
      <c r="Z45" s="7"/>
    </row>
    <row r="46" spans="1:26" ht="12.75" customHeight="1" outlineLevel="1">
      <c r="A46" s="126" t="s">
        <v>436</v>
      </c>
      <c r="B46" s="126" t="s">
        <v>437</v>
      </c>
      <c r="C46" s="126" t="s">
        <v>438</v>
      </c>
      <c r="D46" s="126" t="s">
        <v>439</v>
      </c>
      <c r="E46" s="126" t="s">
        <v>440</v>
      </c>
      <c r="F46" s="126" t="s">
        <v>43</v>
      </c>
      <c r="G46" s="147">
        <v>45998</v>
      </c>
      <c r="H46" s="126" t="s">
        <v>4</v>
      </c>
      <c r="I46" s="126" t="s">
        <v>43</v>
      </c>
      <c r="J46" s="147">
        <v>46001</v>
      </c>
      <c r="K46" s="126" t="s">
        <v>4</v>
      </c>
      <c r="L46" s="126" t="s">
        <v>43</v>
      </c>
      <c r="M46" s="151">
        <v>46003</v>
      </c>
      <c r="N46" s="126" t="s">
        <v>4</v>
      </c>
      <c r="O46" s="126"/>
      <c r="P46" s="7"/>
      <c r="Q46" s="101"/>
      <c r="R46" s="7"/>
      <c r="S46" s="7"/>
      <c r="T46" s="7"/>
      <c r="U46" s="7"/>
      <c r="V46" s="7"/>
      <c r="W46" s="7"/>
      <c r="X46" s="7"/>
      <c r="Y46" s="7"/>
      <c r="Z46" s="7"/>
    </row>
    <row r="47" spans="1:26" ht="12.75" customHeight="1" outlineLevel="1">
      <c r="A47" s="126" t="s">
        <v>441</v>
      </c>
      <c r="B47" s="126" t="s">
        <v>442</v>
      </c>
      <c r="C47" s="126" t="s">
        <v>443</v>
      </c>
      <c r="D47" s="126" t="s">
        <v>444</v>
      </c>
      <c r="E47" s="126" t="s">
        <v>445</v>
      </c>
      <c r="F47" s="126" t="s">
        <v>43</v>
      </c>
      <c r="G47" s="147">
        <v>45998</v>
      </c>
      <c r="H47" s="126" t="s">
        <v>4</v>
      </c>
      <c r="I47" s="126" t="s">
        <v>43</v>
      </c>
      <c r="J47" s="147">
        <v>46001</v>
      </c>
      <c r="K47" s="126" t="s">
        <v>4</v>
      </c>
      <c r="L47" s="126" t="s">
        <v>43</v>
      </c>
      <c r="M47" s="151">
        <v>46003</v>
      </c>
      <c r="N47" s="126" t="s">
        <v>4</v>
      </c>
      <c r="O47" s="126"/>
      <c r="P47" s="7"/>
      <c r="Q47" s="101"/>
      <c r="R47" s="7"/>
      <c r="S47" s="7"/>
      <c r="T47" s="7"/>
      <c r="U47" s="7"/>
      <c r="V47" s="7"/>
      <c r="W47" s="7"/>
      <c r="X47" s="7"/>
      <c r="Y47" s="7"/>
      <c r="Z47" s="7"/>
    </row>
    <row r="48" spans="1:26" ht="12.75" customHeight="1" outlineLevel="1">
      <c r="A48" s="126" t="s">
        <v>446</v>
      </c>
      <c r="B48" s="126" t="s">
        <v>447</v>
      </c>
      <c r="C48" s="126" t="s">
        <v>448</v>
      </c>
      <c r="D48" s="126" t="s">
        <v>449</v>
      </c>
      <c r="E48" s="126" t="s">
        <v>445</v>
      </c>
      <c r="F48" s="126" t="s">
        <v>43</v>
      </c>
      <c r="G48" s="147">
        <v>45998</v>
      </c>
      <c r="H48" s="126" t="s">
        <v>4</v>
      </c>
      <c r="I48" s="126" t="s">
        <v>43</v>
      </c>
      <c r="J48" s="147">
        <v>46001</v>
      </c>
      <c r="K48" s="126" t="s">
        <v>4</v>
      </c>
      <c r="L48" s="126" t="s">
        <v>43</v>
      </c>
      <c r="M48" s="151">
        <v>46003</v>
      </c>
      <c r="N48" s="126" t="s">
        <v>4</v>
      </c>
      <c r="O48" s="126"/>
      <c r="P48" s="7"/>
      <c r="Q48" s="101"/>
      <c r="R48" s="7"/>
      <c r="S48" s="7"/>
      <c r="T48" s="7"/>
      <c r="U48" s="7"/>
      <c r="V48" s="7"/>
      <c r="W48" s="7"/>
      <c r="X48" s="7"/>
      <c r="Y48" s="7"/>
      <c r="Z48" s="7"/>
    </row>
    <row r="49" spans="1:26" ht="12.75" customHeight="1" outlineLevel="1">
      <c r="A49" s="126" t="s">
        <v>450</v>
      </c>
      <c r="B49" s="126" t="s">
        <v>451</v>
      </c>
      <c r="C49" s="126" t="s">
        <v>452</v>
      </c>
      <c r="D49" s="126" t="s">
        <v>453</v>
      </c>
      <c r="E49" s="126" t="s">
        <v>445</v>
      </c>
      <c r="F49" s="126" t="s">
        <v>43</v>
      </c>
      <c r="G49" s="147">
        <v>45998</v>
      </c>
      <c r="H49" s="126" t="s">
        <v>4</v>
      </c>
      <c r="I49" s="126" t="s">
        <v>43</v>
      </c>
      <c r="J49" s="147">
        <v>46001</v>
      </c>
      <c r="K49" s="126" t="s">
        <v>4</v>
      </c>
      <c r="L49" s="126" t="s">
        <v>43</v>
      </c>
      <c r="M49" s="151">
        <v>46003</v>
      </c>
      <c r="N49" s="126" t="s">
        <v>4</v>
      </c>
      <c r="O49" s="126"/>
      <c r="P49" s="7"/>
      <c r="Q49" s="101"/>
      <c r="R49" s="7"/>
      <c r="S49" s="7"/>
      <c r="T49" s="7"/>
      <c r="U49" s="7"/>
      <c r="V49" s="7"/>
      <c r="W49" s="7"/>
      <c r="X49" s="7"/>
      <c r="Y49" s="7"/>
      <c r="Z49" s="7"/>
    </row>
    <row r="50" spans="1:26" ht="12.75" customHeight="1" outlineLevel="1">
      <c r="A50" s="126" t="s">
        <v>454</v>
      </c>
      <c r="B50" s="126" t="s">
        <v>455</v>
      </c>
      <c r="C50" s="126" t="s">
        <v>456</v>
      </c>
      <c r="D50" s="126" t="s">
        <v>457</v>
      </c>
      <c r="E50" s="126" t="s">
        <v>458</v>
      </c>
      <c r="F50" s="126" t="s">
        <v>43</v>
      </c>
      <c r="G50" s="147">
        <v>45998</v>
      </c>
      <c r="H50" s="126" t="s">
        <v>4</v>
      </c>
      <c r="I50" s="126" t="s">
        <v>43</v>
      </c>
      <c r="J50" s="147">
        <v>46001</v>
      </c>
      <c r="K50" s="126" t="s">
        <v>4</v>
      </c>
      <c r="L50" s="126" t="s">
        <v>43</v>
      </c>
      <c r="M50" s="151">
        <v>46003</v>
      </c>
      <c r="N50" s="126" t="s">
        <v>4</v>
      </c>
      <c r="O50" s="126"/>
      <c r="P50" s="7"/>
      <c r="Q50" s="101"/>
      <c r="R50" s="7"/>
      <c r="S50" s="7"/>
      <c r="T50" s="7"/>
      <c r="U50" s="7"/>
      <c r="V50" s="7"/>
      <c r="W50" s="7"/>
      <c r="X50" s="7"/>
      <c r="Y50" s="7"/>
      <c r="Z50" s="7"/>
    </row>
    <row r="51" spans="1:26" ht="12.75" customHeight="1" outlineLevel="1">
      <c r="A51" s="126" t="s">
        <v>459</v>
      </c>
      <c r="B51" s="126" t="s">
        <v>460</v>
      </c>
      <c r="C51" s="126" t="s">
        <v>461</v>
      </c>
      <c r="D51" s="126" t="s">
        <v>462</v>
      </c>
      <c r="E51" s="126" t="s">
        <v>463</v>
      </c>
      <c r="F51" s="126" t="s">
        <v>43</v>
      </c>
      <c r="G51" s="147">
        <v>45998</v>
      </c>
      <c r="H51" s="126" t="s">
        <v>4</v>
      </c>
      <c r="I51" s="126" t="s">
        <v>43</v>
      </c>
      <c r="J51" s="147">
        <v>46001</v>
      </c>
      <c r="K51" s="126" t="s">
        <v>4</v>
      </c>
      <c r="L51" s="126" t="s">
        <v>43</v>
      </c>
      <c r="M51" s="151">
        <v>46003</v>
      </c>
      <c r="N51" s="126" t="s">
        <v>4</v>
      </c>
      <c r="O51" s="126"/>
      <c r="P51" s="7"/>
      <c r="Q51" s="101"/>
      <c r="R51" s="7"/>
      <c r="S51" s="7"/>
      <c r="T51" s="7"/>
      <c r="U51" s="7"/>
      <c r="V51" s="7"/>
      <c r="W51" s="7"/>
      <c r="X51" s="7"/>
      <c r="Y51" s="7"/>
      <c r="Z51" s="7"/>
    </row>
    <row r="52" spans="1:26" ht="12.75" customHeight="1" outlineLevel="1">
      <c r="A52" s="126" t="s">
        <v>464</v>
      </c>
      <c r="B52" s="126" t="s">
        <v>465</v>
      </c>
      <c r="C52" s="126" t="s">
        <v>466</v>
      </c>
      <c r="D52" s="126" t="s">
        <v>467</v>
      </c>
      <c r="E52" s="126" t="s">
        <v>468</v>
      </c>
      <c r="F52" s="126" t="s">
        <v>43</v>
      </c>
      <c r="G52" s="147">
        <v>45998</v>
      </c>
      <c r="H52" s="126" t="s">
        <v>4</v>
      </c>
      <c r="I52" s="126" t="s">
        <v>43</v>
      </c>
      <c r="J52" s="147">
        <v>46001</v>
      </c>
      <c r="K52" s="126" t="s">
        <v>4</v>
      </c>
      <c r="L52" s="126" t="s">
        <v>43</v>
      </c>
      <c r="M52" s="151">
        <v>46003</v>
      </c>
      <c r="N52" s="126" t="s">
        <v>4</v>
      </c>
      <c r="O52" s="126"/>
      <c r="P52" s="7"/>
      <c r="Q52" s="101"/>
      <c r="R52" s="7"/>
      <c r="S52" s="7"/>
      <c r="T52" s="7"/>
      <c r="U52" s="7"/>
      <c r="V52" s="7"/>
      <c r="W52" s="7"/>
      <c r="X52" s="7"/>
      <c r="Y52" s="7"/>
      <c r="Z52" s="7"/>
    </row>
    <row r="53" spans="1:26" ht="12.75" customHeight="1" outlineLevel="1">
      <c r="A53" s="126" t="s">
        <v>459</v>
      </c>
      <c r="B53" s="126" t="s">
        <v>469</v>
      </c>
      <c r="C53" s="126" t="s">
        <v>470</v>
      </c>
      <c r="D53" s="126" t="s">
        <v>471</v>
      </c>
      <c r="E53" s="126" t="s">
        <v>468</v>
      </c>
      <c r="F53" s="126" t="s">
        <v>43</v>
      </c>
      <c r="G53" s="147">
        <v>45998</v>
      </c>
      <c r="H53" s="126" t="s">
        <v>4</v>
      </c>
      <c r="I53" s="126" t="s">
        <v>43</v>
      </c>
      <c r="J53" s="147">
        <v>46001</v>
      </c>
      <c r="K53" s="126" t="s">
        <v>4</v>
      </c>
      <c r="L53" s="126" t="s">
        <v>43</v>
      </c>
      <c r="M53" s="151">
        <v>46003</v>
      </c>
      <c r="N53" s="126" t="s">
        <v>4</v>
      </c>
      <c r="O53" s="126"/>
      <c r="P53" s="7"/>
      <c r="Q53" s="101"/>
      <c r="R53" s="7"/>
      <c r="S53" s="7"/>
      <c r="T53" s="7"/>
      <c r="U53" s="7"/>
      <c r="V53" s="7"/>
      <c r="W53" s="7"/>
      <c r="X53" s="7"/>
      <c r="Y53" s="7"/>
      <c r="Z53" s="7"/>
    </row>
    <row r="54" spans="1:26" ht="12.75" customHeight="1" outlineLevel="1">
      <c r="A54" s="126" t="s">
        <v>459</v>
      </c>
      <c r="B54" s="126" t="s">
        <v>472</v>
      </c>
      <c r="C54" s="126" t="s">
        <v>473</v>
      </c>
      <c r="D54" s="126" t="s">
        <v>474</v>
      </c>
      <c r="E54" s="126" t="s">
        <v>475</v>
      </c>
      <c r="F54" s="126" t="s">
        <v>43</v>
      </c>
      <c r="G54" s="147">
        <v>45998</v>
      </c>
      <c r="H54" s="126" t="s">
        <v>4</v>
      </c>
      <c r="I54" s="126" t="s">
        <v>43</v>
      </c>
      <c r="J54" s="147">
        <v>46001</v>
      </c>
      <c r="K54" s="126" t="s">
        <v>4</v>
      </c>
      <c r="L54" s="126" t="s">
        <v>43</v>
      </c>
      <c r="M54" s="151">
        <v>46003</v>
      </c>
      <c r="N54" s="126" t="s">
        <v>4</v>
      </c>
      <c r="O54" s="126"/>
      <c r="P54" s="7"/>
      <c r="Q54" s="101"/>
      <c r="R54" s="7"/>
      <c r="S54" s="7"/>
      <c r="T54" s="7"/>
      <c r="U54" s="7"/>
      <c r="V54" s="7"/>
      <c r="W54" s="7"/>
      <c r="X54" s="7"/>
      <c r="Y54" s="7"/>
      <c r="Z54" s="7"/>
    </row>
    <row r="55" spans="1:26" ht="12.75" customHeight="1" outlineLevel="1">
      <c r="A55" s="126" t="s">
        <v>464</v>
      </c>
      <c r="B55" s="126" t="s">
        <v>476</v>
      </c>
      <c r="C55" s="126" t="s">
        <v>477</v>
      </c>
      <c r="D55" s="126" t="s">
        <v>478</v>
      </c>
      <c r="E55" s="126" t="s">
        <v>475</v>
      </c>
      <c r="F55" s="126" t="s">
        <v>43</v>
      </c>
      <c r="G55" s="147">
        <v>45998</v>
      </c>
      <c r="H55" s="126" t="s">
        <v>4</v>
      </c>
      <c r="I55" s="126" t="s">
        <v>43</v>
      </c>
      <c r="J55" s="147">
        <v>46001</v>
      </c>
      <c r="K55" s="126" t="s">
        <v>4</v>
      </c>
      <c r="L55" s="126" t="s">
        <v>43</v>
      </c>
      <c r="M55" s="151">
        <v>46003</v>
      </c>
      <c r="N55" s="126" t="s">
        <v>4</v>
      </c>
      <c r="O55" s="126"/>
      <c r="P55" s="7"/>
      <c r="Q55" s="101"/>
      <c r="R55" s="7"/>
      <c r="S55" s="7"/>
      <c r="T55" s="7"/>
      <c r="U55" s="7"/>
      <c r="V55" s="7"/>
      <c r="W55" s="7"/>
      <c r="X55" s="7"/>
      <c r="Y55" s="7"/>
      <c r="Z55" s="7"/>
    </row>
    <row r="56" spans="1:26" ht="12.75" customHeight="1" outlineLevel="1">
      <c r="A56" s="152" t="s">
        <v>479</v>
      </c>
      <c r="B56" s="152" t="s">
        <v>480</v>
      </c>
      <c r="C56" s="152" t="s">
        <v>481</v>
      </c>
      <c r="D56" s="152" t="s">
        <v>482</v>
      </c>
      <c r="E56" s="152" t="s">
        <v>483</v>
      </c>
      <c r="F56" s="152" t="s">
        <v>43</v>
      </c>
      <c r="G56" s="147">
        <v>45998</v>
      </c>
      <c r="H56" s="152" t="s">
        <v>4</v>
      </c>
      <c r="I56" s="152" t="s">
        <v>43</v>
      </c>
      <c r="J56" s="147">
        <v>46001</v>
      </c>
      <c r="K56" s="152" t="s">
        <v>4</v>
      </c>
      <c r="L56" s="152" t="s">
        <v>43</v>
      </c>
      <c r="M56" s="151">
        <v>46003</v>
      </c>
      <c r="N56" s="152" t="s">
        <v>4</v>
      </c>
      <c r="O56" s="152"/>
      <c r="P56" s="153"/>
      <c r="Q56" s="154"/>
      <c r="R56" s="153"/>
      <c r="S56" s="153"/>
      <c r="T56" s="153"/>
      <c r="U56" s="153"/>
      <c r="V56" s="153"/>
      <c r="W56" s="153"/>
      <c r="X56" s="153"/>
      <c r="Y56" s="153"/>
      <c r="Z56" s="153"/>
    </row>
    <row r="57" spans="1:26" ht="15.75" customHeight="1">
      <c r="A57" s="155" t="s">
        <v>484</v>
      </c>
      <c r="B57" s="155"/>
      <c r="C57" s="155"/>
      <c r="D57" s="155"/>
      <c r="E57" s="155"/>
      <c r="F57" s="155"/>
      <c r="G57" s="155"/>
      <c r="H57" s="155"/>
      <c r="I57" s="155"/>
      <c r="J57" s="155"/>
      <c r="K57" s="155"/>
      <c r="L57" s="155"/>
      <c r="M57" s="155"/>
      <c r="N57" s="155"/>
      <c r="O57" s="155"/>
      <c r="P57" s="156"/>
      <c r="Q57" s="156"/>
      <c r="R57" s="156"/>
      <c r="S57" s="156"/>
      <c r="T57" s="156"/>
      <c r="U57" s="156"/>
      <c r="V57" s="156"/>
      <c r="W57" s="156"/>
      <c r="X57" s="157"/>
      <c r="Y57" s="157"/>
      <c r="Z57" s="157"/>
    </row>
    <row r="58" spans="1:26" ht="12.75" customHeight="1" outlineLevel="1">
      <c r="A58" s="158" t="s">
        <v>485</v>
      </c>
      <c r="B58" s="158" t="s">
        <v>486</v>
      </c>
      <c r="C58" s="158" t="s">
        <v>487</v>
      </c>
      <c r="D58" s="158" t="s">
        <v>488</v>
      </c>
      <c r="E58" s="158" t="s">
        <v>489</v>
      </c>
      <c r="F58" s="158" t="s">
        <v>43</v>
      </c>
      <c r="G58" s="159">
        <v>45998</v>
      </c>
      <c r="H58" s="126" t="s">
        <v>4</v>
      </c>
      <c r="I58" s="158" t="s">
        <v>43</v>
      </c>
      <c r="J58" s="159">
        <v>46001</v>
      </c>
      <c r="K58" s="126" t="s">
        <v>4</v>
      </c>
      <c r="L58" s="158" t="s">
        <v>43</v>
      </c>
      <c r="M58" s="159">
        <v>46003</v>
      </c>
      <c r="N58" s="126" t="s">
        <v>4</v>
      </c>
      <c r="O58" s="158"/>
      <c r="P58" s="40"/>
      <c r="Q58" s="160"/>
      <c r="R58" s="40"/>
      <c r="S58" s="40"/>
      <c r="T58" s="40"/>
      <c r="U58" s="40"/>
      <c r="V58" s="40"/>
      <c r="W58" s="40"/>
      <c r="X58" s="40"/>
      <c r="Y58" s="40"/>
      <c r="Z58" s="40"/>
    </row>
    <row r="59" spans="1:26" ht="12.75" customHeight="1" outlineLevel="1">
      <c r="A59" s="126" t="s">
        <v>490</v>
      </c>
      <c r="B59" s="126" t="s">
        <v>491</v>
      </c>
      <c r="C59" s="126" t="s">
        <v>492</v>
      </c>
      <c r="D59" s="126" t="s">
        <v>493</v>
      </c>
      <c r="E59" s="126" t="s">
        <v>494</v>
      </c>
      <c r="F59" s="126" t="s">
        <v>43</v>
      </c>
      <c r="G59" s="159">
        <v>45998</v>
      </c>
      <c r="H59" s="126" t="s">
        <v>4</v>
      </c>
      <c r="I59" s="126" t="s">
        <v>43</v>
      </c>
      <c r="J59" s="159">
        <v>46001</v>
      </c>
      <c r="K59" s="126" t="s">
        <v>4</v>
      </c>
      <c r="L59" s="126" t="s">
        <v>43</v>
      </c>
      <c r="M59" s="159">
        <v>46003</v>
      </c>
      <c r="N59" s="126" t="s">
        <v>4</v>
      </c>
      <c r="O59" s="126"/>
      <c r="P59" s="7"/>
      <c r="Q59" s="101"/>
      <c r="R59" s="7"/>
      <c r="S59" s="7"/>
      <c r="T59" s="7"/>
      <c r="U59" s="7"/>
      <c r="V59" s="7"/>
      <c r="W59" s="7"/>
      <c r="X59" s="7"/>
      <c r="Y59" s="7"/>
      <c r="Z59" s="7"/>
    </row>
    <row r="60" spans="1:26" ht="12.75" customHeight="1" outlineLevel="1">
      <c r="A60" s="126" t="s">
        <v>495</v>
      </c>
      <c r="B60" s="126" t="s">
        <v>496</v>
      </c>
      <c r="C60" s="126" t="s">
        <v>497</v>
      </c>
      <c r="D60" s="126" t="s">
        <v>498</v>
      </c>
      <c r="E60" s="126" t="s">
        <v>499</v>
      </c>
      <c r="F60" s="126" t="s">
        <v>43</v>
      </c>
      <c r="G60" s="159">
        <v>45998</v>
      </c>
      <c r="H60" s="126" t="s">
        <v>4</v>
      </c>
      <c r="I60" s="126" t="s">
        <v>43</v>
      </c>
      <c r="J60" s="159">
        <v>46001</v>
      </c>
      <c r="K60" s="126" t="s">
        <v>4</v>
      </c>
      <c r="L60" s="126" t="s">
        <v>43</v>
      </c>
      <c r="M60" s="159">
        <v>46003</v>
      </c>
      <c r="N60" s="126" t="s">
        <v>4</v>
      </c>
      <c r="O60" s="126"/>
      <c r="P60" s="7"/>
      <c r="Q60" s="101"/>
      <c r="R60" s="7"/>
      <c r="S60" s="7"/>
      <c r="T60" s="7"/>
      <c r="U60" s="7"/>
      <c r="V60" s="7"/>
      <c r="W60" s="7"/>
      <c r="X60" s="7"/>
      <c r="Y60" s="7"/>
      <c r="Z60" s="7"/>
    </row>
    <row r="61" spans="1:26" ht="12.75" customHeight="1" outlineLevel="1">
      <c r="A61" s="126" t="s">
        <v>500</v>
      </c>
      <c r="B61" s="126" t="s">
        <v>491</v>
      </c>
      <c r="C61" s="126" t="s">
        <v>501</v>
      </c>
      <c r="D61" s="126" t="s">
        <v>502</v>
      </c>
      <c r="E61" s="126" t="s">
        <v>494</v>
      </c>
      <c r="F61" s="126" t="s">
        <v>43</v>
      </c>
      <c r="G61" s="159">
        <v>45998</v>
      </c>
      <c r="H61" s="126" t="s">
        <v>4</v>
      </c>
      <c r="I61" s="126" t="s">
        <v>43</v>
      </c>
      <c r="J61" s="159">
        <v>46001</v>
      </c>
      <c r="K61" s="126" t="s">
        <v>4</v>
      </c>
      <c r="L61" s="126" t="s">
        <v>43</v>
      </c>
      <c r="M61" s="159">
        <v>46003</v>
      </c>
      <c r="N61" s="126" t="s">
        <v>4</v>
      </c>
      <c r="O61" s="126"/>
      <c r="P61" s="7"/>
      <c r="Q61" s="101"/>
      <c r="R61" s="7"/>
      <c r="S61" s="7"/>
      <c r="T61" s="7"/>
      <c r="U61" s="7"/>
      <c r="V61" s="7"/>
      <c r="W61" s="7"/>
      <c r="X61" s="7"/>
      <c r="Y61" s="7"/>
      <c r="Z61" s="7"/>
    </row>
    <row r="62" spans="1:26" ht="15.75" customHeight="1">
      <c r="A62" s="148" t="s">
        <v>503</v>
      </c>
      <c r="B62" s="134"/>
      <c r="C62" s="135"/>
      <c r="D62" s="135"/>
      <c r="E62" s="135"/>
      <c r="F62" s="135"/>
      <c r="G62" s="135"/>
      <c r="H62" s="135"/>
      <c r="I62" s="135"/>
      <c r="J62" s="135"/>
      <c r="K62" s="135"/>
      <c r="L62" s="135"/>
      <c r="M62" s="135"/>
      <c r="N62" s="135"/>
      <c r="O62" s="136"/>
      <c r="P62" s="7"/>
      <c r="Q62" s="101"/>
      <c r="R62" s="7"/>
      <c r="S62" s="7"/>
      <c r="T62" s="7"/>
      <c r="U62" s="7"/>
      <c r="V62" s="7"/>
      <c r="W62" s="7"/>
      <c r="X62" s="7"/>
      <c r="Y62" s="7"/>
      <c r="Z62" s="7"/>
    </row>
    <row r="63" spans="1:26" ht="12.75" customHeight="1" outlineLevel="1">
      <c r="A63" s="161" t="s">
        <v>504</v>
      </c>
      <c r="B63" s="161" t="s">
        <v>480</v>
      </c>
      <c r="C63" s="161" t="s">
        <v>481</v>
      </c>
      <c r="D63" s="161" t="s">
        <v>482</v>
      </c>
      <c r="E63" s="161" t="s">
        <v>483</v>
      </c>
      <c r="F63" s="161" t="s">
        <v>43</v>
      </c>
      <c r="G63" s="159">
        <v>45998</v>
      </c>
      <c r="H63" s="161" t="s">
        <v>4</v>
      </c>
      <c r="I63" s="161" t="s">
        <v>43</v>
      </c>
      <c r="J63" s="159">
        <v>46001</v>
      </c>
      <c r="K63" s="161" t="s">
        <v>4</v>
      </c>
      <c r="L63" s="161" t="s">
        <v>43</v>
      </c>
      <c r="M63" s="159">
        <v>46003</v>
      </c>
      <c r="N63" s="161" t="s">
        <v>4</v>
      </c>
      <c r="O63" s="162"/>
      <c r="P63" s="7"/>
      <c r="Q63" s="101"/>
      <c r="R63" s="7"/>
      <c r="S63" s="7"/>
      <c r="T63" s="7"/>
      <c r="U63" s="7"/>
      <c r="V63" s="7"/>
      <c r="W63" s="7"/>
      <c r="X63" s="7"/>
      <c r="Y63" s="7"/>
      <c r="Z63" s="7"/>
    </row>
    <row r="64" spans="1:26" ht="15.75" customHeight="1">
      <c r="A64" s="148" t="s">
        <v>505</v>
      </c>
      <c r="B64" s="148"/>
      <c r="C64" s="149"/>
      <c r="D64" s="149"/>
      <c r="E64" s="149"/>
      <c r="F64" s="149"/>
      <c r="G64" s="149"/>
      <c r="H64" s="149"/>
      <c r="I64" s="149"/>
      <c r="J64" s="149"/>
      <c r="K64" s="149"/>
      <c r="L64" s="149"/>
      <c r="M64" s="149"/>
      <c r="N64" s="149"/>
      <c r="O64" s="150"/>
      <c r="P64" s="7"/>
      <c r="Q64" s="101"/>
      <c r="R64" s="7"/>
      <c r="S64" s="7"/>
      <c r="T64" s="7"/>
      <c r="U64" s="7"/>
      <c r="V64" s="7"/>
      <c r="W64" s="7"/>
      <c r="X64" s="7"/>
      <c r="Y64" s="7"/>
      <c r="Z64" s="7"/>
    </row>
    <row r="65" spans="1:26" ht="12.75" customHeight="1" outlineLevel="1">
      <c r="A65" s="126" t="s">
        <v>506</v>
      </c>
      <c r="B65" s="163" t="s">
        <v>507</v>
      </c>
      <c r="C65" s="163" t="s">
        <v>508</v>
      </c>
      <c r="D65" s="163" t="s">
        <v>509</v>
      </c>
      <c r="E65" s="163" t="s">
        <v>510</v>
      </c>
      <c r="F65" s="161" t="s">
        <v>43</v>
      </c>
      <c r="G65" s="159">
        <v>45998</v>
      </c>
      <c r="H65" s="161" t="s">
        <v>4</v>
      </c>
      <c r="I65" s="161" t="s">
        <v>43</v>
      </c>
      <c r="J65" s="159">
        <v>46001</v>
      </c>
      <c r="K65" s="161" t="s">
        <v>4</v>
      </c>
      <c r="L65" s="161" t="s">
        <v>43</v>
      </c>
      <c r="M65" s="159">
        <v>46003</v>
      </c>
      <c r="N65" s="161" t="s">
        <v>4</v>
      </c>
      <c r="O65" s="126"/>
      <c r="P65" s="7"/>
      <c r="Q65" s="101"/>
      <c r="R65" s="7"/>
      <c r="S65" s="7"/>
      <c r="T65" s="7"/>
      <c r="U65" s="7"/>
      <c r="V65" s="7"/>
      <c r="W65" s="7"/>
      <c r="X65" s="7"/>
      <c r="Y65" s="7"/>
      <c r="Z65" s="7"/>
    </row>
    <row r="66" spans="1:26" ht="12.75" customHeight="1" outlineLevel="1">
      <c r="A66" s="126" t="s">
        <v>511</v>
      </c>
      <c r="B66" s="126" t="s">
        <v>512</v>
      </c>
      <c r="C66" s="126" t="s">
        <v>513</v>
      </c>
      <c r="D66" s="131" t="s">
        <v>514</v>
      </c>
      <c r="E66" s="163" t="s">
        <v>515</v>
      </c>
      <c r="F66" s="126" t="s">
        <v>43</v>
      </c>
      <c r="G66" s="159">
        <v>45998</v>
      </c>
      <c r="H66" s="161" t="s">
        <v>4</v>
      </c>
      <c r="I66" s="126" t="s">
        <v>43</v>
      </c>
      <c r="J66" s="159">
        <v>46001</v>
      </c>
      <c r="K66" s="161" t="s">
        <v>4</v>
      </c>
      <c r="L66" s="161" t="s">
        <v>43</v>
      </c>
      <c r="M66" s="159">
        <v>46003</v>
      </c>
      <c r="N66" s="161" t="s">
        <v>4</v>
      </c>
      <c r="O66" s="126"/>
      <c r="P66" s="7"/>
      <c r="Q66" s="101"/>
      <c r="R66" s="7"/>
      <c r="S66" s="7"/>
      <c r="T66" s="7"/>
      <c r="U66" s="7"/>
      <c r="V66" s="7"/>
      <c r="W66" s="7"/>
      <c r="X66" s="7"/>
      <c r="Y66" s="7"/>
      <c r="Z66" s="7"/>
    </row>
    <row r="67" spans="1:26" ht="15.75" customHeight="1">
      <c r="A67" s="148" t="s">
        <v>516</v>
      </c>
      <c r="B67" s="148"/>
      <c r="C67" s="149"/>
      <c r="D67" s="149"/>
      <c r="E67" s="149"/>
      <c r="F67" s="149"/>
      <c r="G67" s="149"/>
      <c r="H67" s="149"/>
      <c r="I67" s="149"/>
      <c r="J67" s="149"/>
      <c r="K67" s="149"/>
      <c r="L67" s="149"/>
      <c r="M67" s="149"/>
      <c r="N67" s="149"/>
      <c r="O67" s="150"/>
      <c r="P67" s="7"/>
      <c r="Q67" s="101"/>
      <c r="R67" s="7"/>
      <c r="S67" s="7"/>
      <c r="T67" s="7"/>
      <c r="U67" s="7"/>
      <c r="V67" s="7"/>
      <c r="W67" s="7"/>
      <c r="X67" s="7"/>
      <c r="Y67" s="7"/>
      <c r="Z67" s="7"/>
    </row>
    <row r="68" spans="1:26" ht="12.75" customHeight="1" outlineLevel="1">
      <c r="A68" s="126" t="s">
        <v>517</v>
      </c>
      <c r="B68" s="126" t="s">
        <v>518</v>
      </c>
      <c r="C68" s="126" t="s">
        <v>519</v>
      </c>
      <c r="D68" s="131" t="s">
        <v>520</v>
      </c>
      <c r="E68" s="131" t="s">
        <v>521</v>
      </c>
      <c r="F68" s="126" t="s">
        <v>43</v>
      </c>
      <c r="G68" s="159">
        <v>45998</v>
      </c>
      <c r="H68" s="161" t="s">
        <v>4</v>
      </c>
      <c r="I68" s="126" t="s">
        <v>43</v>
      </c>
      <c r="J68" s="159">
        <v>46001</v>
      </c>
      <c r="K68" s="161" t="s">
        <v>4</v>
      </c>
      <c r="L68" s="126" t="s">
        <v>43</v>
      </c>
      <c r="M68" s="159">
        <v>46003</v>
      </c>
      <c r="N68" s="161" t="s">
        <v>4</v>
      </c>
      <c r="O68" s="126"/>
      <c r="P68" s="7"/>
      <c r="Q68" s="101"/>
      <c r="R68" s="7"/>
      <c r="S68" s="7"/>
      <c r="T68" s="7"/>
      <c r="U68" s="7"/>
      <c r="V68" s="7"/>
      <c r="W68" s="7"/>
      <c r="X68" s="7"/>
      <c r="Y68" s="7"/>
      <c r="Z68" s="7"/>
    </row>
    <row r="69" spans="1:26" ht="12.75" customHeight="1" outlineLevel="1">
      <c r="A69" s="126" t="s">
        <v>522</v>
      </c>
      <c r="B69" s="126" t="s">
        <v>523</v>
      </c>
      <c r="C69" s="126" t="s">
        <v>524</v>
      </c>
      <c r="D69" s="131" t="s">
        <v>525</v>
      </c>
      <c r="E69" s="131" t="s">
        <v>521</v>
      </c>
      <c r="F69" s="126" t="s">
        <v>43</v>
      </c>
      <c r="G69" s="159">
        <v>45998</v>
      </c>
      <c r="H69" s="161" t="s">
        <v>4</v>
      </c>
      <c r="I69" s="126" t="s">
        <v>43</v>
      </c>
      <c r="J69" s="159">
        <v>46001</v>
      </c>
      <c r="K69" s="161" t="s">
        <v>4</v>
      </c>
      <c r="L69" s="126" t="s">
        <v>43</v>
      </c>
      <c r="M69" s="159">
        <v>46003</v>
      </c>
      <c r="N69" s="161" t="s">
        <v>4</v>
      </c>
      <c r="O69" s="126"/>
      <c r="P69" s="7"/>
      <c r="Q69" s="101"/>
      <c r="R69" s="7"/>
      <c r="S69" s="7"/>
      <c r="T69" s="7"/>
      <c r="U69" s="7"/>
      <c r="V69" s="7"/>
      <c r="W69" s="7"/>
      <c r="X69" s="7"/>
      <c r="Y69" s="7"/>
      <c r="Z69" s="7"/>
    </row>
    <row r="70" spans="1:26" ht="12.75" customHeight="1" outlineLevel="1">
      <c r="A70" s="126" t="s">
        <v>526</v>
      </c>
      <c r="B70" s="126" t="s">
        <v>527</v>
      </c>
      <c r="C70" s="126" t="s">
        <v>528</v>
      </c>
      <c r="D70" s="131" t="s">
        <v>529</v>
      </c>
      <c r="E70" s="131" t="s">
        <v>530</v>
      </c>
      <c r="F70" s="126" t="s">
        <v>43</v>
      </c>
      <c r="G70" s="159">
        <v>45998</v>
      </c>
      <c r="H70" s="161" t="s">
        <v>4</v>
      </c>
      <c r="I70" s="126" t="s">
        <v>43</v>
      </c>
      <c r="J70" s="159">
        <v>46001</v>
      </c>
      <c r="K70" s="161" t="s">
        <v>4</v>
      </c>
      <c r="L70" s="126" t="s">
        <v>43</v>
      </c>
      <c r="M70" s="159">
        <v>46003</v>
      </c>
      <c r="N70" s="161" t="s">
        <v>4</v>
      </c>
      <c r="O70" s="126"/>
      <c r="P70" s="7"/>
      <c r="Q70" s="101"/>
      <c r="R70" s="7"/>
      <c r="S70" s="7"/>
      <c r="T70" s="7"/>
      <c r="U70" s="7"/>
      <c r="V70" s="7"/>
      <c r="W70" s="7"/>
      <c r="X70" s="7"/>
      <c r="Y70" s="7"/>
      <c r="Z70" s="7"/>
    </row>
    <row r="71" spans="1:26" ht="12.75" customHeight="1" outlineLevel="1">
      <c r="A71" s="126" t="s">
        <v>531</v>
      </c>
      <c r="B71" s="126" t="s">
        <v>532</v>
      </c>
      <c r="C71" s="126" t="s">
        <v>533</v>
      </c>
      <c r="D71" s="131" t="s">
        <v>534</v>
      </c>
      <c r="E71" s="131" t="s">
        <v>521</v>
      </c>
      <c r="F71" s="126" t="s">
        <v>43</v>
      </c>
      <c r="G71" s="159">
        <v>45998</v>
      </c>
      <c r="H71" s="161" t="s">
        <v>4</v>
      </c>
      <c r="I71" s="126" t="s">
        <v>43</v>
      </c>
      <c r="J71" s="159">
        <v>46001</v>
      </c>
      <c r="K71" s="161" t="s">
        <v>4</v>
      </c>
      <c r="L71" s="126" t="s">
        <v>43</v>
      </c>
      <c r="M71" s="159">
        <v>46003</v>
      </c>
      <c r="N71" s="161" t="s">
        <v>4</v>
      </c>
      <c r="O71" s="126"/>
      <c r="P71" s="7"/>
      <c r="Q71" s="101"/>
      <c r="R71" s="7"/>
      <c r="S71" s="7"/>
      <c r="T71" s="7"/>
      <c r="U71" s="7"/>
      <c r="V71" s="7"/>
      <c r="W71" s="7"/>
      <c r="X71" s="7"/>
      <c r="Y71" s="7"/>
      <c r="Z71" s="7"/>
    </row>
    <row r="72" spans="1:26" ht="12.75" customHeight="1" outlineLevel="1">
      <c r="A72" s="126" t="s">
        <v>535</v>
      </c>
      <c r="B72" s="126" t="s">
        <v>536</v>
      </c>
      <c r="C72" s="126" t="s">
        <v>537</v>
      </c>
      <c r="D72" s="131" t="s">
        <v>538</v>
      </c>
      <c r="E72" s="131" t="s">
        <v>521</v>
      </c>
      <c r="F72" s="126" t="s">
        <v>43</v>
      </c>
      <c r="G72" s="159">
        <v>45998</v>
      </c>
      <c r="H72" s="161" t="s">
        <v>4</v>
      </c>
      <c r="I72" s="126" t="s">
        <v>43</v>
      </c>
      <c r="J72" s="159">
        <v>46001</v>
      </c>
      <c r="K72" s="161" t="s">
        <v>4</v>
      </c>
      <c r="L72" s="126" t="s">
        <v>43</v>
      </c>
      <c r="M72" s="159">
        <v>46003</v>
      </c>
      <c r="N72" s="161" t="s">
        <v>4</v>
      </c>
      <c r="O72" s="126"/>
      <c r="P72" s="7"/>
      <c r="Q72" s="101"/>
      <c r="R72" s="7"/>
      <c r="S72" s="7"/>
      <c r="T72" s="7"/>
      <c r="U72" s="7"/>
      <c r="V72" s="7"/>
      <c r="W72" s="7"/>
      <c r="X72" s="7"/>
      <c r="Y72" s="7"/>
      <c r="Z72" s="7"/>
    </row>
    <row r="73" spans="1:26" ht="15.75" customHeight="1">
      <c r="A73" s="148" t="s">
        <v>539</v>
      </c>
      <c r="B73" s="148"/>
      <c r="C73" s="149"/>
      <c r="D73" s="149"/>
      <c r="E73" s="149"/>
      <c r="F73" s="149"/>
      <c r="G73" s="149"/>
      <c r="H73" s="149"/>
      <c r="I73" s="149"/>
      <c r="J73" s="149"/>
      <c r="K73" s="149"/>
      <c r="L73" s="149"/>
      <c r="M73" s="149"/>
      <c r="N73" s="149"/>
      <c r="O73" s="150"/>
      <c r="P73" s="7"/>
      <c r="Q73" s="101"/>
      <c r="R73" s="7"/>
      <c r="S73" s="7"/>
      <c r="T73" s="7"/>
      <c r="U73" s="7"/>
      <c r="V73" s="7"/>
      <c r="W73" s="7"/>
      <c r="X73" s="7"/>
      <c r="Y73" s="7"/>
      <c r="Z73" s="7"/>
    </row>
    <row r="74" spans="1:26" ht="12.75" customHeight="1" outlineLevel="1">
      <c r="A74" s="126" t="s">
        <v>540</v>
      </c>
      <c r="B74" s="126" t="s">
        <v>541</v>
      </c>
      <c r="C74" s="126" t="s">
        <v>542</v>
      </c>
      <c r="D74" s="131" t="s">
        <v>543</v>
      </c>
      <c r="E74" s="131" t="s">
        <v>544</v>
      </c>
      <c r="F74" s="126" t="s">
        <v>43</v>
      </c>
      <c r="G74" s="159">
        <v>45998</v>
      </c>
      <c r="H74" s="161" t="s">
        <v>4</v>
      </c>
      <c r="I74" s="126" t="s">
        <v>43</v>
      </c>
      <c r="J74" s="159">
        <v>46001</v>
      </c>
      <c r="K74" s="161" t="s">
        <v>4</v>
      </c>
      <c r="L74" s="126" t="s">
        <v>43</v>
      </c>
      <c r="M74" s="159">
        <v>46003</v>
      </c>
      <c r="N74" s="161" t="s">
        <v>4</v>
      </c>
      <c r="O74" s="126"/>
      <c r="P74" s="7"/>
      <c r="Q74" s="101"/>
      <c r="R74" s="7"/>
      <c r="S74" s="7"/>
      <c r="T74" s="7"/>
      <c r="U74" s="7"/>
      <c r="V74" s="7"/>
      <c r="W74" s="7"/>
      <c r="X74" s="7"/>
      <c r="Y74" s="7"/>
      <c r="Z74" s="7"/>
    </row>
    <row r="75" spans="1:26" ht="12.75" customHeight="1" outlineLevel="1">
      <c r="A75" s="126" t="s">
        <v>545</v>
      </c>
      <c r="B75" s="126" t="s">
        <v>546</v>
      </c>
      <c r="C75" s="126" t="s">
        <v>547</v>
      </c>
      <c r="D75" s="131" t="s">
        <v>548</v>
      </c>
      <c r="E75" s="131" t="s">
        <v>549</v>
      </c>
      <c r="F75" s="126" t="s">
        <v>43</v>
      </c>
      <c r="G75" s="159">
        <v>45998</v>
      </c>
      <c r="H75" s="161" t="s">
        <v>4</v>
      </c>
      <c r="I75" s="126" t="s">
        <v>43</v>
      </c>
      <c r="J75" s="159">
        <v>46001</v>
      </c>
      <c r="K75" s="161" t="s">
        <v>4</v>
      </c>
      <c r="L75" s="126" t="s">
        <v>43</v>
      </c>
      <c r="M75" s="159">
        <v>46003</v>
      </c>
      <c r="N75" s="161" t="s">
        <v>4</v>
      </c>
      <c r="O75" s="126"/>
      <c r="P75" s="7"/>
      <c r="Q75" s="101"/>
      <c r="R75" s="7"/>
      <c r="S75" s="7"/>
      <c r="T75" s="7"/>
      <c r="U75" s="7"/>
      <c r="V75" s="7"/>
      <c r="W75" s="7"/>
      <c r="X75" s="7"/>
      <c r="Y75" s="7"/>
      <c r="Z75" s="7"/>
    </row>
    <row r="76" spans="1:26" ht="12.75" customHeight="1" outlineLevel="1">
      <c r="A76" s="126" t="s">
        <v>550</v>
      </c>
      <c r="B76" s="126" t="s">
        <v>551</v>
      </c>
      <c r="C76" s="126" t="s">
        <v>552</v>
      </c>
      <c r="D76" s="131" t="s">
        <v>553</v>
      </c>
      <c r="E76" s="131" t="s">
        <v>554</v>
      </c>
      <c r="F76" s="126" t="s">
        <v>43</v>
      </c>
      <c r="G76" s="159">
        <v>45998</v>
      </c>
      <c r="H76" s="161" t="s">
        <v>4</v>
      </c>
      <c r="I76" s="126" t="s">
        <v>43</v>
      </c>
      <c r="J76" s="159">
        <v>46001</v>
      </c>
      <c r="K76" s="161" t="s">
        <v>4</v>
      </c>
      <c r="L76" s="126" t="s">
        <v>43</v>
      </c>
      <c r="M76" s="159">
        <v>46003</v>
      </c>
      <c r="N76" s="161" t="s">
        <v>4</v>
      </c>
      <c r="O76" s="126"/>
      <c r="P76" s="7"/>
      <c r="Q76" s="101"/>
      <c r="R76" s="7"/>
      <c r="S76" s="7"/>
      <c r="T76" s="7"/>
      <c r="U76" s="7"/>
      <c r="V76" s="7"/>
      <c r="W76" s="7"/>
      <c r="X76" s="7"/>
      <c r="Y76" s="7"/>
      <c r="Z76" s="7"/>
    </row>
    <row r="77" spans="1:26" ht="12.75" customHeight="1" outlineLevel="1">
      <c r="A77" s="126" t="s">
        <v>555</v>
      </c>
      <c r="B77" s="126" t="s">
        <v>556</v>
      </c>
      <c r="C77" s="126" t="s">
        <v>557</v>
      </c>
      <c r="D77" s="131" t="s">
        <v>558</v>
      </c>
      <c r="E77" s="131" t="s">
        <v>559</v>
      </c>
      <c r="F77" s="126" t="s">
        <v>43</v>
      </c>
      <c r="G77" s="159">
        <v>45998</v>
      </c>
      <c r="H77" s="161" t="s">
        <v>4</v>
      </c>
      <c r="I77" s="126" t="s">
        <v>43</v>
      </c>
      <c r="J77" s="159">
        <v>46001</v>
      </c>
      <c r="K77" s="161" t="s">
        <v>4</v>
      </c>
      <c r="L77" s="126" t="s">
        <v>43</v>
      </c>
      <c r="M77" s="159">
        <v>46003</v>
      </c>
      <c r="N77" s="161" t="s">
        <v>4</v>
      </c>
      <c r="O77" s="126"/>
      <c r="P77" s="7"/>
      <c r="Q77" s="101"/>
      <c r="R77" s="7"/>
      <c r="S77" s="7"/>
      <c r="T77" s="7"/>
      <c r="U77" s="7"/>
      <c r="V77" s="7"/>
      <c r="W77" s="7"/>
      <c r="X77" s="7"/>
      <c r="Y77" s="7"/>
      <c r="Z77" s="7"/>
    </row>
    <row r="78" spans="1:26" ht="15.75" customHeight="1">
      <c r="A78" s="148" t="s">
        <v>560</v>
      </c>
      <c r="B78" s="148"/>
      <c r="C78" s="149"/>
      <c r="D78" s="149"/>
      <c r="E78" s="149"/>
      <c r="F78" s="149"/>
      <c r="G78" s="149"/>
      <c r="H78" s="149"/>
      <c r="I78" s="149"/>
      <c r="J78" s="149"/>
      <c r="K78" s="149"/>
      <c r="L78" s="149"/>
      <c r="M78" s="149"/>
      <c r="N78" s="149"/>
      <c r="O78" s="150"/>
      <c r="P78" s="7"/>
      <c r="Q78" s="101"/>
      <c r="R78" s="7"/>
      <c r="S78" s="7"/>
      <c r="T78" s="7"/>
      <c r="U78" s="7"/>
      <c r="V78" s="7"/>
      <c r="W78" s="7"/>
      <c r="X78" s="7"/>
      <c r="Y78" s="7"/>
      <c r="Z78" s="7"/>
    </row>
    <row r="79" spans="1:26" ht="12.75" customHeight="1" outlineLevel="1">
      <c r="A79" s="126" t="s">
        <v>561</v>
      </c>
      <c r="B79" s="126" t="s">
        <v>562</v>
      </c>
      <c r="C79" s="126" t="s">
        <v>563</v>
      </c>
      <c r="D79" s="131" t="s">
        <v>564</v>
      </c>
      <c r="E79" s="131" t="s">
        <v>565</v>
      </c>
      <c r="F79" s="126" t="s">
        <v>43</v>
      </c>
      <c r="G79" s="159">
        <v>45998</v>
      </c>
      <c r="H79" s="161" t="s">
        <v>4</v>
      </c>
      <c r="I79" s="126" t="s">
        <v>43</v>
      </c>
      <c r="J79" s="159">
        <v>46001</v>
      </c>
      <c r="K79" s="161" t="s">
        <v>4</v>
      </c>
      <c r="L79" s="126" t="s">
        <v>43</v>
      </c>
      <c r="M79" s="159">
        <v>46003</v>
      </c>
      <c r="N79" s="161" t="s">
        <v>4</v>
      </c>
      <c r="O79" s="126"/>
      <c r="P79" s="7"/>
      <c r="Q79" s="101"/>
      <c r="R79" s="7"/>
      <c r="S79" s="7"/>
      <c r="T79" s="7"/>
      <c r="U79" s="7"/>
      <c r="V79" s="7"/>
      <c r="W79" s="7"/>
      <c r="X79" s="7"/>
      <c r="Y79" s="7"/>
      <c r="Z79" s="7"/>
    </row>
    <row r="80" spans="1:26" ht="12.75" customHeight="1" outlineLevel="1">
      <c r="A80" s="126" t="s">
        <v>566</v>
      </c>
      <c r="B80" s="126" t="s">
        <v>567</v>
      </c>
      <c r="C80" s="126" t="s">
        <v>568</v>
      </c>
      <c r="D80" s="131" t="s">
        <v>569</v>
      </c>
      <c r="E80" s="131" t="s">
        <v>570</v>
      </c>
      <c r="F80" s="126" t="s">
        <v>43</v>
      </c>
      <c r="G80" s="159">
        <v>45998</v>
      </c>
      <c r="H80" s="161" t="s">
        <v>4</v>
      </c>
      <c r="I80" s="126" t="s">
        <v>43</v>
      </c>
      <c r="J80" s="159">
        <v>46001</v>
      </c>
      <c r="K80" s="161" t="s">
        <v>4</v>
      </c>
      <c r="L80" s="126" t="s">
        <v>43</v>
      </c>
      <c r="M80" s="159">
        <v>46003</v>
      </c>
      <c r="N80" s="161" t="s">
        <v>4</v>
      </c>
      <c r="O80" s="126"/>
      <c r="P80" s="7"/>
      <c r="Q80" s="101"/>
      <c r="R80" s="7"/>
      <c r="S80" s="7"/>
      <c r="T80" s="7"/>
      <c r="U80" s="7"/>
      <c r="V80" s="7"/>
      <c r="W80" s="7"/>
      <c r="X80" s="7"/>
      <c r="Y80" s="7"/>
      <c r="Z80" s="7"/>
    </row>
    <row r="81" spans="1:26" ht="12.75" customHeight="1" outlineLevel="1">
      <c r="A81" s="126" t="s">
        <v>571</v>
      </c>
      <c r="B81" s="126" t="s">
        <v>572</v>
      </c>
      <c r="C81" s="126" t="s">
        <v>573</v>
      </c>
      <c r="D81" s="131" t="s">
        <v>574</v>
      </c>
      <c r="E81" s="131" t="s">
        <v>570</v>
      </c>
      <c r="F81" s="126" t="s">
        <v>43</v>
      </c>
      <c r="G81" s="159">
        <v>45998</v>
      </c>
      <c r="H81" s="161" t="s">
        <v>4</v>
      </c>
      <c r="I81" s="126" t="s">
        <v>43</v>
      </c>
      <c r="J81" s="159">
        <v>46001</v>
      </c>
      <c r="K81" s="161" t="s">
        <v>4</v>
      </c>
      <c r="L81" s="126" t="s">
        <v>43</v>
      </c>
      <c r="M81" s="159">
        <v>46003</v>
      </c>
      <c r="N81" s="161" t="s">
        <v>4</v>
      </c>
      <c r="O81" s="126"/>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15" ht="12.75" customHeight="1">
      <c r="A993" s="7"/>
      <c r="B993" s="7"/>
      <c r="C993" s="7"/>
      <c r="D993" s="7"/>
      <c r="E993" s="7"/>
      <c r="F993" s="7"/>
      <c r="G993" s="7"/>
      <c r="H993" s="7"/>
      <c r="I993" s="7"/>
      <c r="J993" s="7"/>
      <c r="K993" s="7"/>
      <c r="L993" s="7"/>
      <c r="M993" s="7"/>
      <c r="N993" s="7"/>
      <c r="O993" s="7"/>
    </row>
    <row r="994" spans="1:15" ht="12.75" customHeight="1">
      <c r="A994" s="7"/>
      <c r="B994" s="7"/>
      <c r="C994" s="7"/>
      <c r="D994" s="7"/>
      <c r="E994" s="7"/>
      <c r="F994" s="7"/>
      <c r="G994" s="7"/>
      <c r="H994" s="7"/>
      <c r="I994" s="7"/>
      <c r="J994" s="7"/>
      <c r="K994" s="7"/>
      <c r="L994" s="7"/>
      <c r="M994" s="7"/>
      <c r="N994" s="7"/>
      <c r="O994" s="7"/>
    </row>
    <row r="995" spans="1:15" ht="12.75" customHeight="1">
      <c r="A995" s="7"/>
      <c r="B995" s="7"/>
      <c r="C995" s="7"/>
      <c r="D995" s="7"/>
      <c r="E995" s="7"/>
      <c r="F995" s="7"/>
      <c r="G995" s="7"/>
      <c r="H995" s="7"/>
      <c r="I995" s="7"/>
      <c r="J995" s="7"/>
      <c r="K995" s="7"/>
      <c r="L995" s="7"/>
      <c r="M995" s="7"/>
      <c r="N995" s="7"/>
      <c r="O995" s="7"/>
    </row>
    <row r="996" spans="1:15" ht="12.75" customHeight="1">
      <c r="A996" s="7"/>
      <c r="B996" s="7"/>
      <c r="C996" s="7"/>
      <c r="D996" s="7"/>
      <c r="E996" s="7"/>
      <c r="F996" s="7"/>
      <c r="G996" s="7"/>
      <c r="H996" s="7"/>
      <c r="I996" s="7"/>
      <c r="J996" s="7"/>
      <c r="K996" s="7"/>
      <c r="L996" s="7"/>
      <c r="M996" s="7"/>
      <c r="N996" s="7"/>
      <c r="O996" s="7"/>
    </row>
    <row r="997" spans="1:15" ht="12.75" customHeight="1">
      <c r="A997" s="7"/>
      <c r="B997" s="7"/>
      <c r="C997" s="7"/>
      <c r="D997" s="7"/>
      <c r="E997" s="7"/>
      <c r="F997" s="7"/>
      <c r="G997" s="7"/>
      <c r="H997" s="7"/>
      <c r="I997" s="7"/>
      <c r="J997" s="7"/>
      <c r="K997" s="7"/>
      <c r="L997" s="7"/>
      <c r="M997" s="7"/>
      <c r="N997" s="7"/>
      <c r="O997" s="7"/>
    </row>
    <row r="998" spans="1:15" ht="12.75" customHeight="1">
      <c r="A998" s="7"/>
      <c r="B998" s="7"/>
      <c r="C998" s="7"/>
      <c r="D998" s="7"/>
      <c r="E998" s="7"/>
      <c r="F998" s="7"/>
      <c r="G998" s="7"/>
      <c r="H998" s="7"/>
      <c r="I998" s="7"/>
      <c r="J998" s="7"/>
      <c r="K998" s="7"/>
      <c r="L998" s="7"/>
      <c r="M998" s="7"/>
      <c r="N998" s="7"/>
      <c r="O998" s="7"/>
    </row>
    <row r="999" spans="1:15" ht="12.75" customHeight="1">
      <c r="A999" s="7"/>
      <c r="B999" s="7"/>
      <c r="C999" s="7"/>
      <c r="D999" s="7"/>
      <c r="E999" s="7"/>
      <c r="F999" s="7"/>
      <c r="G999" s="7"/>
      <c r="H999" s="7"/>
      <c r="I999" s="7"/>
      <c r="J999" s="7"/>
      <c r="K999" s="7"/>
      <c r="L999" s="7"/>
      <c r="M999" s="7"/>
      <c r="N999" s="7"/>
      <c r="O999" s="7"/>
    </row>
    <row r="1000" spans="1:15" ht="12.75" customHeight="1">
      <c r="A1000" s="7"/>
      <c r="B1000" s="7"/>
      <c r="C1000" s="7"/>
      <c r="D1000" s="7"/>
      <c r="E1000" s="7"/>
      <c r="F1000" s="7"/>
      <c r="G1000" s="7"/>
      <c r="H1000" s="7"/>
      <c r="I1000" s="7"/>
      <c r="J1000" s="7"/>
      <c r="K1000" s="7"/>
      <c r="L1000" s="7"/>
      <c r="M1000" s="7"/>
      <c r="N1000" s="7"/>
      <c r="O1000" s="7"/>
    </row>
    <row r="1001" spans="1:15" ht="12.75" customHeight="1">
      <c r="A1001" s="7"/>
      <c r="B1001" s="7"/>
      <c r="C1001" s="7"/>
      <c r="D1001" s="7"/>
      <c r="E1001" s="7"/>
      <c r="F1001" s="7"/>
      <c r="G1001" s="7"/>
      <c r="H1001" s="7"/>
      <c r="I1001" s="7"/>
      <c r="J1001" s="7"/>
      <c r="K1001" s="7"/>
      <c r="L1001" s="7"/>
      <c r="M1001" s="7"/>
      <c r="N1001" s="7"/>
      <c r="O1001" s="7"/>
    </row>
    <row r="1002" spans="1:15" ht="12.75" customHeight="1">
      <c r="A1002" s="7"/>
      <c r="B1002" s="7"/>
      <c r="C1002" s="7"/>
      <c r="D1002" s="7"/>
      <c r="E1002" s="7"/>
      <c r="F1002" s="7"/>
      <c r="G1002" s="7"/>
      <c r="H1002" s="7"/>
      <c r="I1002" s="7"/>
      <c r="J1002" s="7"/>
      <c r="K1002" s="7"/>
      <c r="L1002" s="7"/>
      <c r="M1002" s="7"/>
      <c r="N1002" s="7"/>
      <c r="O1002" s="7"/>
    </row>
    <row r="1003" spans="1:15" ht="12.75" customHeight="1">
      <c r="A1003" s="7"/>
      <c r="B1003" s="7"/>
      <c r="C1003" s="7"/>
      <c r="D1003" s="7"/>
      <c r="E1003" s="7"/>
      <c r="F1003" s="7"/>
      <c r="G1003" s="7"/>
      <c r="H1003" s="7"/>
      <c r="I1003" s="7"/>
      <c r="J1003" s="7"/>
      <c r="K1003" s="7"/>
      <c r="L1003" s="7"/>
      <c r="M1003" s="7"/>
      <c r="N1003" s="7"/>
      <c r="O1003" s="7"/>
    </row>
    <row r="1004" spans="1:15" ht="12.75" customHeight="1">
      <c r="A1004" s="7"/>
      <c r="B1004" s="7"/>
      <c r="C1004" s="7"/>
      <c r="D1004" s="7"/>
      <c r="E1004" s="7"/>
      <c r="F1004" s="7"/>
      <c r="G1004" s="7"/>
      <c r="H1004" s="7"/>
      <c r="I1004" s="7"/>
      <c r="J1004" s="7"/>
      <c r="K1004" s="7"/>
      <c r="L1004" s="7"/>
      <c r="M1004" s="7"/>
      <c r="N1004" s="7"/>
      <c r="O1004" s="7"/>
    </row>
    <row r="1005" spans="1:15" ht="12.75" customHeight="1">
      <c r="A1005" s="7"/>
      <c r="B1005" s="7"/>
      <c r="C1005" s="7"/>
      <c r="D1005" s="7"/>
      <c r="E1005" s="7"/>
      <c r="F1005" s="7"/>
      <c r="G1005" s="7"/>
      <c r="H1005" s="7"/>
      <c r="I1005" s="7"/>
      <c r="J1005" s="7"/>
      <c r="K1005" s="7"/>
      <c r="L1005" s="7"/>
      <c r="M1005" s="7"/>
      <c r="N1005" s="7"/>
      <c r="O1005" s="7"/>
    </row>
    <row r="1006" spans="1:15" ht="12.75" customHeight="1">
      <c r="A1006" s="7"/>
      <c r="B1006" s="7"/>
      <c r="C1006" s="7"/>
      <c r="D1006" s="7"/>
      <c r="E1006" s="7"/>
      <c r="F1006" s="7"/>
      <c r="G1006" s="7"/>
      <c r="H1006" s="7"/>
      <c r="I1006" s="7"/>
      <c r="J1006" s="7"/>
      <c r="K1006" s="7"/>
      <c r="L1006" s="7"/>
      <c r="M1006" s="7"/>
      <c r="N1006" s="7"/>
      <c r="O1006" s="7"/>
    </row>
    <row r="1007" spans="1:15" ht="12.75" customHeight="1">
      <c r="A1007" s="7"/>
      <c r="B1007" s="7"/>
      <c r="C1007" s="7"/>
      <c r="D1007" s="7"/>
      <c r="E1007" s="7"/>
      <c r="F1007" s="7"/>
      <c r="G1007" s="7"/>
      <c r="H1007" s="7"/>
      <c r="I1007" s="7"/>
      <c r="J1007" s="7"/>
      <c r="K1007" s="7"/>
      <c r="L1007" s="7"/>
      <c r="M1007" s="7"/>
      <c r="N1007" s="7"/>
      <c r="O1007" s="7"/>
    </row>
    <row r="1008" spans="1:15" ht="12.75" customHeight="1">
      <c r="A1008" s="7"/>
      <c r="B1008" s="7"/>
      <c r="C1008" s="7"/>
      <c r="D1008" s="7"/>
      <c r="E1008" s="7"/>
      <c r="F1008" s="7"/>
      <c r="G1008" s="7"/>
      <c r="H1008" s="7"/>
      <c r="I1008" s="7"/>
      <c r="J1008" s="7"/>
      <c r="K1008" s="7"/>
      <c r="L1008" s="7"/>
      <c r="M1008" s="7"/>
      <c r="N1008" s="7"/>
      <c r="O1008" s="7"/>
    </row>
    <row r="1009" spans="1:15" ht="12.75" customHeight="1">
      <c r="A1009" s="7"/>
      <c r="B1009" s="7"/>
      <c r="C1009" s="7"/>
      <c r="D1009" s="7"/>
      <c r="E1009" s="7"/>
      <c r="F1009" s="7"/>
      <c r="G1009" s="7"/>
      <c r="H1009" s="7"/>
      <c r="I1009" s="7"/>
      <c r="J1009" s="7"/>
      <c r="K1009" s="7"/>
      <c r="L1009" s="7"/>
      <c r="M1009" s="7"/>
      <c r="N1009" s="7"/>
      <c r="O1009" s="7"/>
    </row>
    <row r="1010" spans="1:15" ht="12.75" customHeight="1">
      <c r="A1010" s="7"/>
      <c r="B1010" s="7"/>
      <c r="C1010" s="7"/>
      <c r="D1010" s="7"/>
      <c r="E1010" s="7"/>
      <c r="F1010" s="7"/>
      <c r="G1010" s="7"/>
      <c r="H1010" s="7"/>
      <c r="I1010" s="7"/>
      <c r="J1010" s="7"/>
      <c r="K1010" s="7"/>
      <c r="L1010" s="7"/>
      <c r="M1010" s="7"/>
      <c r="N1010" s="7"/>
      <c r="O1010" s="7"/>
    </row>
    <row r="1011" spans="1:15" ht="12.75" customHeight="1">
      <c r="A1011" s="7"/>
      <c r="B1011" s="7"/>
      <c r="C1011" s="7"/>
      <c r="D1011" s="7"/>
      <c r="E1011" s="7"/>
      <c r="F1011" s="7"/>
      <c r="G1011" s="7"/>
      <c r="H1011" s="7"/>
      <c r="I1011" s="7"/>
      <c r="J1011" s="7"/>
      <c r="K1011" s="7"/>
      <c r="L1011" s="7"/>
      <c r="M1011" s="7"/>
      <c r="N1011" s="7"/>
      <c r="O1011" s="7"/>
    </row>
    <row r="1012" spans="1:15" ht="12.75" customHeight="1">
      <c r="A1012" s="7"/>
      <c r="B1012" s="7"/>
      <c r="C1012" s="7"/>
      <c r="D1012" s="7"/>
      <c r="E1012" s="7"/>
      <c r="F1012" s="7"/>
      <c r="G1012" s="7"/>
      <c r="H1012" s="7"/>
      <c r="I1012" s="7"/>
      <c r="J1012" s="7"/>
      <c r="K1012" s="7"/>
      <c r="L1012" s="7"/>
      <c r="M1012" s="7"/>
      <c r="N1012" s="7"/>
      <c r="O1012" s="7"/>
    </row>
    <row r="1013" spans="1:15" ht="12.75" customHeight="1">
      <c r="A1013" s="7"/>
      <c r="B1013" s="7"/>
      <c r="C1013" s="7"/>
      <c r="D1013" s="7"/>
      <c r="E1013" s="7"/>
      <c r="F1013" s="7"/>
      <c r="G1013" s="7"/>
      <c r="H1013" s="7"/>
      <c r="I1013" s="7"/>
      <c r="J1013" s="7"/>
      <c r="K1013" s="7"/>
      <c r="L1013" s="7"/>
      <c r="M1013" s="7"/>
      <c r="N1013" s="7"/>
      <c r="O1013" s="7"/>
    </row>
    <row r="1014" spans="1:15" ht="12.75" customHeight="1">
      <c r="A1014" s="7"/>
      <c r="B1014" s="7"/>
      <c r="C1014" s="7"/>
      <c r="D1014" s="7"/>
      <c r="E1014" s="7"/>
      <c r="F1014" s="7"/>
      <c r="G1014" s="7"/>
      <c r="H1014" s="7"/>
      <c r="I1014" s="7"/>
      <c r="J1014" s="7"/>
      <c r="K1014" s="7"/>
      <c r="L1014" s="7"/>
      <c r="M1014" s="7"/>
      <c r="N1014" s="7"/>
      <c r="O1014" s="7"/>
    </row>
    <row r="1015" spans="1:15" ht="12.75" customHeight="1">
      <c r="A1015" s="7"/>
      <c r="B1015" s="7"/>
      <c r="C1015" s="7"/>
      <c r="D1015" s="7"/>
      <c r="E1015" s="7"/>
      <c r="F1015" s="7"/>
      <c r="G1015" s="7"/>
      <c r="H1015" s="7"/>
      <c r="I1015" s="7"/>
      <c r="J1015" s="7"/>
      <c r="K1015" s="7"/>
      <c r="L1015" s="7"/>
      <c r="M1015" s="7"/>
      <c r="N1015" s="7"/>
      <c r="O1015" s="7"/>
    </row>
    <row r="1016" spans="1:15" ht="12.75" customHeight="1">
      <c r="A1016" s="7"/>
      <c r="B1016" s="7"/>
      <c r="C1016" s="7"/>
      <c r="D1016" s="7"/>
      <c r="E1016" s="7"/>
      <c r="F1016" s="7"/>
      <c r="G1016" s="7"/>
      <c r="H1016" s="7"/>
      <c r="I1016" s="7"/>
      <c r="J1016" s="7"/>
      <c r="K1016" s="7"/>
      <c r="L1016" s="7"/>
      <c r="M1016" s="7"/>
      <c r="N1016" s="7"/>
      <c r="O1016" s="7"/>
    </row>
    <row r="1017" spans="1:15" ht="12.75" customHeight="1">
      <c r="A1017" s="7"/>
      <c r="B1017" s="7"/>
      <c r="C1017" s="7"/>
      <c r="D1017" s="7"/>
      <c r="E1017" s="7"/>
      <c r="F1017" s="7"/>
      <c r="G1017" s="7"/>
      <c r="H1017" s="7"/>
      <c r="I1017" s="7"/>
      <c r="J1017" s="7"/>
      <c r="K1017" s="7"/>
      <c r="L1017" s="7"/>
      <c r="M1017" s="7"/>
      <c r="N1017" s="7"/>
      <c r="O1017" s="7"/>
    </row>
    <row r="1018" spans="1:15" ht="12.75" customHeight="1">
      <c r="A1018" s="7"/>
      <c r="B1018" s="7"/>
      <c r="C1018" s="7"/>
      <c r="D1018" s="7"/>
      <c r="E1018" s="7"/>
      <c r="F1018" s="7"/>
      <c r="G1018" s="7"/>
      <c r="H1018" s="7"/>
      <c r="I1018" s="7"/>
      <c r="J1018" s="7"/>
      <c r="K1018" s="7"/>
      <c r="L1018" s="7"/>
      <c r="M1018" s="7"/>
      <c r="N1018" s="7"/>
      <c r="O1018" s="7"/>
    </row>
    <row r="1019" spans="1:15" ht="12.75" customHeight="1">
      <c r="A1019" s="7"/>
      <c r="B1019" s="7"/>
      <c r="C1019" s="7"/>
      <c r="D1019" s="7"/>
      <c r="E1019" s="7"/>
      <c r="F1019" s="7"/>
      <c r="G1019" s="7"/>
      <c r="H1019" s="7"/>
      <c r="I1019" s="7"/>
      <c r="J1019" s="7"/>
      <c r="K1019" s="7"/>
      <c r="L1019" s="7"/>
      <c r="M1019" s="7"/>
      <c r="N1019" s="7"/>
      <c r="O1019" s="7"/>
    </row>
    <row r="1020" spans="1:15" ht="12.75" customHeight="1">
      <c r="A1020" s="7"/>
      <c r="B1020" s="7"/>
      <c r="C1020" s="7"/>
      <c r="D1020" s="7"/>
      <c r="E1020" s="7"/>
      <c r="F1020" s="7"/>
      <c r="G1020" s="7"/>
      <c r="H1020" s="7"/>
      <c r="I1020" s="7"/>
      <c r="J1020" s="7"/>
      <c r="K1020" s="7"/>
      <c r="L1020" s="7"/>
      <c r="M1020" s="7"/>
      <c r="N1020" s="7"/>
      <c r="O1020" s="7"/>
    </row>
    <row r="1021" spans="1:15" ht="12.75" customHeight="1">
      <c r="A1021" s="7"/>
      <c r="B1021" s="7"/>
      <c r="C1021" s="7"/>
      <c r="D1021" s="7"/>
      <c r="E1021" s="7"/>
      <c r="F1021" s="7"/>
      <c r="G1021" s="7"/>
      <c r="H1021" s="7"/>
      <c r="I1021" s="7"/>
      <c r="J1021" s="7"/>
      <c r="K1021" s="7"/>
      <c r="L1021" s="7"/>
      <c r="M1021" s="7"/>
      <c r="N1021" s="7"/>
      <c r="O1021" s="7"/>
    </row>
    <row r="1022" spans="1:15" ht="12.75" customHeight="1">
      <c r="A1022" s="7"/>
      <c r="B1022" s="7"/>
      <c r="C1022" s="7"/>
      <c r="D1022" s="7"/>
      <c r="E1022" s="7"/>
      <c r="F1022" s="7"/>
      <c r="G1022" s="7"/>
      <c r="H1022" s="7"/>
      <c r="I1022" s="7"/>
      <c r="J1022" s="7"/>
      <c r="K1022" s="7"/>
      <c r="L1022" s="7"/>
      <c r="M1022" s="7"/>
      <c r="N1022" s="7"/>
      <c r="O1022" s="7"/>
    </row>
    <row r="1023" spans="1:15" ht="12.75" customHeight="1">
      <c r="A1023" s="7"/>
      <c r="B1023" s="7"/>
      <c r="C1023" s="7"/>
      <c r="D1023" s="7"/>
      <c r="E1023" s="7"/>
      <c r="F1023" s="7"/>
      <c r="G1023" s="7"/>
      <c r="H1023" s="7"/>
      <c r="I1023" s="7"/>
      <c r="J1023" s="7"/>
      <c r="K1023" s="7"/>
      <c r="L1023" s="7"/>
      <c r="M1023" s="7"/>
      <c r="N1023" s="7"/>
      <c r="O1023" s="7"/>
    </row>
    <row r="1024" spans="1:15" ht="12.75" customHeight="1">
      <c r="A1024" s="7"/>
      <c r="B1024" s="7"/>
      <c r="C1024" s="7"/>
      <c r="D1024" s="7"/>
      <c r="E1024" s="7"/>
      <c r="F1024" s="7"/>
      <c r="G1024" s="7"/>
      <c r="H1024" s="7"/>
      <c r="I1024" s="7"/>
      <c r="J1024" s="7"/>
      <c r="K1024" s="7"/>
      <c r="L1024" s="7"/>
      <c r="M1024" s="7"/>
      <c r="N1024" s="7"/>
      <c r="O1024" s="7"/>
    </row>
    <row r="1025" spans="1:15" ht="12.75" customHeight="1">
      <c r="A1025" s="7"/>
      <c r="B1025" s="7"/>
      <c r="C1025" s="7"/>
      <c r="D1025" s="7"/>
      <c r="E1025" s="7"/>
      <c r="F1025" s="7"/>
      <c r="G1025" s="7"/>
      <c r="H1025" s="7"/>
      <c r="I1025" s="7"/>
      <c r="J1025" s="7"/>
      <c r="K1025" s="7"/>
      <c r="L1025" s="7"/>
      <c r="M1025" s="7"/>
      <c r="N1025" s="7"/>
      <c r="O1025" s="7"/>
    </row>
    <row r="1026" spans="1:15" ht="12.75" customHeight="1">
      <c r="A1026" s="7"/>
      <c r="B1026" s="7"/>
      <c r="C1026" s="7"/>
      <c r="D1026" s="7"/>
      <c r="E1026" s="7"/>
      <c r="F1026" s="7"/>
      <c r="G1026" s="7"/>
      <c r="H1026" s="7"/>
      <c r="I1026" s="7"/>
      <c r="J1026" s="7"/>
      <c r="K1026" s="7"/>
      <c r="L1026" s="7"/>
      <c r="M1026" s="7"/>
      <c r="N1026" s="7"/>
      <c r="O1026" s="7"/>
    </row>
    <row r="1027" spans="1:15" ht="12.75" customHeight="1">
      <c r="A1027" s="7"/>
      <c r="B1027" s="7"/>
      <c r="C1027" s="7"/>
      <c r="D1027" s="7"/>
      <c r="E1027" s="7"/>
      <c r="F1027" s="7"/>
      <c r="G1027" s="7"/>
      <c r="H1027" s="7"/>
      <c r="I1027" s="7"/>
      <c r="J1027" s="7"/>
      <c r="K1027" s="7"/>
      <c r="L1027" s="7"/>
      <c r="M1027" s="7"/>
      <c r="N1027" s="7"/>
      <c r="O1027" s="7"/>
    </row>
    <row r="1028" spans="1:15" ht="12.75" customHeight="1">
      <c r="A1028" s="7"/>
      <c r="B1028" s="7"/>
      <c r="C1028" s="7"/>
      <c r="D1028" s="7"/>
      <c r="E1028" s="7"/>
      <c r="F1028" s="7"/>
      <c r="G1028" s="7"/>
      <c r="H1028" s="7"/>
      <c r="I1028" s="7"/>
      <c r="J1028" s="7"/>
      <c r="K1028" s="7"/>
      <c r="L1028" s="7"/>
      <c r="M1028" s="7"/>
      <c r="N1028" s="7"/>
      <c r="O1028" s="7"/>
    </row>
    <row r="1029" spans="1:15" ht="12.75" customHeight="1">
      <c r="A1029" s="7"/>
      <c r="B1029" s="7"/>
      <c r="C1029" s="7"/>
      <c r="D1029" s="7"/>
      <c r="E1029" s="7"/>
      <c r="F1029" s="7"/>
      <c r="G1029" s="7"/>
      <c r="H1029" s="7"/>
      <c r="I1029" s="7"/>
      <c r="J1029" s="7"/>
      <c r="K1029" s="7"/>
      <c r="L1029" s="7"/>
      <c r="M1029" s="7"/>
      <c r="N1029" s="7"/>
      <c r="O1029" s="7"/>
    </row>
    <row r="1030" spans="1:15" ht="12.75" customHeight="1">
      <c r="A1030" s="7"/>
      <c r="B1030" s="7"/>
      <c r="C1030" s="7"/>
      <c r="D1030" s="7"/>
      <c r="E1030" s="7"/>
      <c r="F1030" s="7"/>
      <c r="G1030" s="7"/>
      <c r="H1030" s="7"/>
      <c r="I1030" s="7"/>
      <c r="J1030" s="7"/>
      <c r="K1030" s="7"/>
      <c r="L1030" s="7"/>
      <c r="M1030" s="7"/>
      <c r="N1030" s="7"/>
      <c r="O1030" s="7"/>
    </row>
    <row r="1031" spans="1:15" ht="12.75" customHeight="1">
      <c r="A1031" s="7"/>
      <c r="B1031" s="7"/>
      <c r="C1031" s="7"/>
      <c r="D1031" s="7"/>
      <c r="E1031" s="7"/>
      <c r="F1031" s="7"/>
      <c r="G1031" s="7"/>
      <c r="H1031" s="7"/>
      <c r="I1031" s="7"/>
      <c r="J1031" s="7"/>
      <c r="K1031" s="7"/>
      <c r="L1031" s="7"/>
      <c r="M1031" s="7"/>
      <c r="N1031" s="7"/>
      <c r="O1031" s="7"/>
    </row>
    <row r="1032" spans="1:15" ht="12.75" customHeight="1">
      <c r="A1032" s="7"/>
      <c r="B1032" s="7"/>
      <c r="C1032" s="7"/>
      <c r="D1032" s="7"/>
      <c r="E1032" s="7"/>
      <c r="F1032" s="7"/>
      <c r="G1032" s="7"/>
      <c r="H1032" s="7"/>
      <c r="I1032" s="7"/>
      <c r="J1032" s="7"/>
      <c r="K1032" s="7"/>
      <c r="L1032" s="7"/>
      <c r="M1032" s="7"/>
      <c r="N1032" s="7"/>
      <c r="O1032" s="7"/>
    </row>
    <row r="1033" spans="1:15" ht="12.75" customHeight="1">
      <c r="A1033" s="7"/>
      <c r="B1033" s="7"/>
      <c r="C1033" s="7"/>
      <c r="D1033" s="7"/>
      <c r="E1033" s="7"/>
      <c r="F1033" s="7"/>
      <c r="G1033" s="7"/>
      <c r="H1033" s="7"/>
      <c r="I1033" s="7"/>
      <c r="J1033" s="7"/>
      <c r="K1033" s="7"/>
      <c r="L1033" s="7"/>
      <c r="M1033" s="7"/>
      <c r="N1033" s="7"/>
      <c r="O1033" s="7"/>
    </row>
    <row r="1034" spans="1:15" ht="12.75" customHeight="1">
      <c r="A1034" s="7"/>
      <c r="B1034" s="7"/>
      <c r="C1034" s="7"/>
      <c r="D1034" s="7"/>
      <c r="E1034" s="7"/>
      <c r="F1034" s="7"/>
      <c r="G1034" s="7"/>
      <c r="H1034" s="7"/>
      <c r="I1034" s="7"/>
      <c r="J1034" s="7"/>
      <c r="K1034" s="7"/>
      <c r="L1034" s="7"/>
      <c r="M1034" s="7"/>
      <c r="N1034" s="7"/>
      <c r="O1034" s="7"/>
    </row>
    <row r="1035" spans="1:15" ht="12.75" customHeight="1">
      <c r="A1035" s="7"/>
      <c r="B1035" s="7"/>
      <c r="C1035" s="7"/>
      <c r="D1035" s="7"/>
      <c r="E1035" s="7"/>
      <c r="F1035" s="7"/>
      <c r="G1035" s="7"/>
      <c r="H1035" s="7"/>
      <c r="I1035" s="7"/>
      <c r="J1035" s="7"/>
      <c r="K1035" s="7"/>
      <c r="L1035" s="7"/>
      <c r="M1035" s="7"/>
      <c r="N1035" s="7"/>
      <c r="O1035" s="7"/>
    </row>
    <row r="1036" spans="1:15" ht="12.75" customHeight="1">
      <c r="A1036" s="7"/>
      <c r="B1036" s="7"/>
      <c r="C1036" s="7"/>
      <c r="D1036" s="7"/>
      <c r="E1036" s="7"/>
      <c r="F1036" s="7"/>
      <c r="G1036" s="7"/>
      <c r="H1036" s="7"/>
      <c r="I1036" s="7"/>
      <c r="J1036" s="7"/>
      <c r="K1036" s="7"/>
      <c r="L1036" s="7"/>
      <c r="M1036" s="7"/>
      <c r="N1036" s="7"/>
      <c r="O1036" s="7"/>
    </row>
    <row r="1037" spans="1:15" ht="12.75" customHeight="1">
      <c r="A1037" s="7"/>
      <c r="B1037" s="7"/>
      <c r="C1037" s="7"/>
      <c r="D1037" s="7"/>
      <c r="E1037" s="7"/>
      <c r="F1037" s="7"/>
      <c r="G1037" s="7"/>
      <c r="H1037" s="7"/>
      <c r="I1037" s="7"/>
      <c r="J1037" s="7"/>
      <c r="K1037" s="7"/>
      <c r="L1037" s="7"/>
      <c r="M1037" s="7"/>
      <c r="N1037" s="7"/>
      <c r="O1037" s="7"/>
    </row>
    <row r="1038" spans="1:15" ht="12.75" customHeight="1">
      <c r="A1038" s="7"/>
      <c r="B1038" s="7"/>
      <c r="C1038" s="7"/>
      <c r="D1038" s="7"/>
      <c r="E1038" s="7"/>
      <c r="F1038" s="7"/>
      <c r="G1038" s="7"/>
      <c r="H1038" s="7"/>
      <c r="I1038" s="7"/>
      <c r="J1038" s="7"/>
      <c r="K1038" s="7"/>
      <c r="L1038" s="7"/>
      <c r="M1038" s="7"/>
      <c r="N1038" s="7"/>
      <c r="O1038" s="7"/>
    </row>
    <row r="1039" spans="1:15" ht="12.75" customHeight="1">
      <c r="A1039" s="7"/>
      <c r="B1039" s="7"/>
      <c r="C1039" s="7"/>
      <c r="D1039" s="7"/>
      <c r="E1039" s="7"/>
      <c r="F1039" s="7"/>
      <c r="G1039" s="7"/>
      <c r="H1039" s="7"/>
      <c r="I1039" s="7"/>
      <c r="J1039" s="7"/>
      <c r="K1039" s="7"/>
      <c r="L1039" s="7"/>
      <c r="M1039" s="7"/>
      <c r="N1039" s="7"/>
      <c r="O1039" s="7"/>
    </row>
    <row r="1040" spans="1:15" ht="12.75" customHeight="1">
      <c r="A1040" s="7"/>
      <c r="B1040" s="7"/>
      <c r="C1040" s="7"/>
      <c r="D1040" s="7"/>
      <c r="E1040" s="7"/>
      <c r="F1040" s="7"/>
      <c r="G1040" s="7"/>
      <c r="H1040" s="7"/>
      <c r="I1040" s="7"/>
      <c r="J1040" s="7"/>
      <c r="K1040" s="7"/>
      <c r="L1040" s="7"/>
      <c r="M1040" s="7"/>
      <c r="N1040" s="7"/>
      <c r="O1040" s="7"/>
    </row>
    <row r="1041" spans="1:15" ht="12.75" customHeight="1">
      <c r="A1041" s="7"/>
      <c r="B1041" s="7"/>
      <c r="C1041" s="7"/>
      <c r="D1041" s="7"/>
      <c r="E1041" s="7"/>
      <c r="F1041" s="7"/>
      <c r="G1041" s="7"/>
      <c r="H1041" s="7"/>
      <c r="I1041" s="7"/>
      <c r="J1041" s="7"/>
      <c r="K1041" s="7"/>
      <c r="L1041" s="7"/>
      <c r="M1041" s="7"/>
      <c r="N1041" s="7"/>
      <c r="O1041" s="7"/>
    </row>
    <row r="1042" spans="1:15" ht="12.75" customHeight="1">
      <c r="A1042" s="7"/>
      <c r="B1042" s="7"/>
      <c r="C1042" s="7"/>
      <c r="D1042" s="7"/>
      <c r="E1042" s="7"/>
      <c r="F1042" s="7"/>
      <c r="G1042" s="7"/>
      <c r="H1042" s="7"/>
      <c r="I1042" s="7"/>
      <c r="J1042" s="7"/>
      <c r="K1042" s="7"/>
      <c r="L1042" s="7"/>
      <c r="M1042" s="7"/>
      <c r="N1042" s="7"/>
      <c r="O1042" s="7"/>
    </row>
    <row r="1043" spans="1:15" ht="12.75" customHeight="1">
      <c r="A1043" s="7"/>
      <c r="B1043" s="7"/>
      <c r="C1043" s="7"/>
      <c r="D1043" s="7"/>
      <c r="E1043" s="7"/>
      <c r="F1043" s="7"/>
      <c r="G1043" s="7"/>
      <c r="H1043" s="7"/>
      <c r="I1043" s="7"/>
      <c r="J1043" s="7"/>
      <c r="K1043" s="7"/>
      <c r="L1043" s="7"/>
      <c r="M1043" s="7"/>
      <c r="N1043" s="7"/>
      <c r="O1043" s="7"/>
    </row>
    <row r="1044" spans="1:15" ht="12.75" customHeight="1">
      <c r="A1044" s="7"/>
      <c r="B1044" s="7"/>
      <c r="C1044" s="7"/>
      <c r="D1044" s="7"/>
      <c r="E1044" s="7"/>
      <c r="F1044" s="7"/>
      <c r="G1044" s="7"/>
      <c r="H1044" s="7"/>
      <c r="I1044" s="7"/>
      <c r="J1044" s="7"/>
      <c r="K1044" s="7"/>
      <c r="L1044" s="7"/>
      <c r="M1044" s="7"/>
      <c r="N1044" s="7"/>
      <c r="O1044" s="7"/>
    </row>
    <row r="1045" spans="1:15" ht="12.75" customHeight="1">
      <c r="A1045" s="7"/>
      <c r="B1045" s="7"/>
      <c r="C1045" s="7"/>
      <c r="D1045" s="7"/>
      <c r="E1045" s="7"/>
      <c r="F1045" s="7"/>
      <c r="G1045" s="7"/>
      <c r="H1045" s="7"/>
      <c r="I1045" s="7"/>
      <c r="J1045" s="7"/>
      <c r="K1045" s="7"/>
      <c r="L1045" s="7"/>
      <c r="M1045" s="7"/>
      <c r="N1045" s="7"/>
      <c r="O1045" s="7"/>
    </row>
    <row r="1046" spans="1:15" ht="12.75" customHeight="1">
      <c r="A1046" s="7"/>
      <c r="B1046" s="7"/>
      <c r="C1046" s="7"/>
      <c r="D1046" s="7"/>
      <c r="E1046" s="7"/>
      <c r="F1046" s="7"/>
      <c r="G1046" s="7"/>
      <c r="H1046" s="7"/>
      <c r="I1046" s="7"/>
      <c r="J1046" s="7"/>
      <c r="K1046" s="7"/>
      <c r="L1046" s="7"/>
      <c r="M1046" s="7"/>
      <c r="N1046" s="7"/>
      <c r="O1046" s="7"/>
    </row>
    <row r="1047" spans="1:15" ht="12.75" customHeight="1">
      <c r="A1047" s="7"/>
      <c r="B1047" s="7"/>
      <c r="C1047" s="7"/>
      <c r="D1047" s="7"/>
      <c r="E1047" s="7"/>
      <c r="F1047" s="7"/>
      <c r="G1047" s="7"/>
      <c r="H1047" s="7"/>
      <c r="I1047" s="7"/>
      <c r="J1047" s="7"/>
      <c r="K1047" s="7"/>
      <c r="L1047" s="7"/>
      <c r="M1047" s="7"/>
      <c r="N1047" s="7"/>
      <c r="O1047" s="7"/>
    </row>
    <row r="1048" spans="1:15" ht="12.75" customHeight="1">
      <c r="A1048" s="7"/>
      <c r="B1048" s="7"/>
      <c r="C1048" s="7"/>
      <c r="D1048" s="7"/>
      <c r="E1048" s="7"/>
      <c r="F1048" s="7"/>
      <c r="G1048" s="7"/>
      <c r="H1048" s="7"/>
      <c r="I1048" s="7"/>
      <c r="J1048" s="7"/>
      <c r="K1048" s="7"/>
      <c r="L1048" s="7"/>
      <c r="M1048" s="7"/>
      <c r="N1048" s="7"/>
      <c r="O1048" s="7"/>
    </row>
    <row r="1049" spans="1:15" ht="12.75" customHeight="1">
      <c r="A1049" s="7"/>
      <c r="B1049" s="7"/>
      <c r="C1049" s="7"/>
      <c r="D1049" s="7"/>
      <c r="E1049" s="7"/>
      <c r="F1049" s="7"/>
      <c r="G1049" s="7"/>
      <c r="H1049" s="7"/>
      <c r="I1049" s="7"/>
      <c r="J1049" s="7"/>
      <c r="K1049" s="7"/>
      <c r="L1049" s="7"/>
      <c r="M1049" s="7"/>
      <c r="N1049" s="7"/>
      <c r="O1049" s="7"/>
    </row>
    <row r="1050" spans="1:15" ht="12.75" customHeight="1">
      <c r="A1050" s="7"/>
      <c r="B1050" s="7"/>
      <c r="C1050" s="7"/>
      <c r="D1050" s="7"/>
      <c r="E1050" s="7"/>
      <c r="F1050" s="7"/>
      <c r="G1050" s="7"/>
      <c r="H1050" s="7"/>
      <c r="I1050" s="7"/>
      <c r="J1050" s="7"/>
      <c r="K1050" s="7"/>
      <c r="L1050" s="7"/>
      <c r="M1050" s="7"/>
      <c r="N1050" s="7"/>
      <c r="O1050" s="7"/>
    </row>
    <row r="1051" spans="1:15" ht="12.75" customHeight="1">
      <c r="A1051" s="7"/>
      <c r="B1051" s="7"/>
      <c r="C1051" s="7"/>
      <c r="D1051" s="7"/>
      <c r="E1051" s="7"/>
      <c r="F1051" s="7"/>
      <c r="G1051" s="7"/>
      <c r="H1051" s="7"/>
      <c r="I1051" s="7"/>
      <c r="J1051" s="7"/>
      <c r="K1051" s="7"/>
      <c r="L1051" s="7"/>
      <c r="M1051" s="7"/>
      <c r="N1051" s="7"/>
      <c r="O1051" s="7"/>
    </row>
    <row r="1052" spans="1:15" ht="12.75" customHeight="1">
      <c r="A1052" s="7"/>
      <c r="B1052" s="7"/>
      <c r="C1052" s="7"/>
      <c r="D1052" s="7"/>
      <c r="E1052" s="7"/>
      <c r="F1052" s="7"/>
      <c r="G1052" s="7"/>
      <c r="H1052" s="7"/>
      <c r="I1052" s="7"/>
      <c r="J1052" s="7"/>
      <c r="K1052" s="7"/>
      <c r="L1052" s="7"/>
      <c r="M1052" s="7"/>
      <c r="N1052" s="7"/>
      <c r="O1052" s="7"/>
    </row>
    <row r="1053" spans="1:15" ht="12.75" customHeight="1">
      <c r="A1053" s="7"/>
      <c r="B1053" s="7"/>
      <c r="C1053" s="7"/>
      <c r="D1053" s="7"/>
      <c r="E1053" s="7"/>
      <c r="F1053" s="7"/>
      <c r="G1053" s="7"/>
      <c r="H1053" s="7"/>
      <c r="I1053" s="7"/>
      <c r="J1053" s="7"/>
      <c r="K1053" s="7"/>
      <c r="L1053" s="7"/>
      <c r="M1053" s="7"/>
      <c r="N1053" s="7"/>
      <c r="O1053" s="7"/>
    </row>
    <row r="1054" spans="1:15" ht="12.75" customHeight="1">
      <c r="A1054" s="7"/>
      <c r="B1054" s="7"/>
      <c r="C1054" s="7"/>
      <c r="D1054" s="7"/>
      <c r="E1054" s="7"/>
      <c r="F1054" s="7"/>
      <c r="G1054" s="7"/>
      <c r="H1054" s="7"/>
      <c r="I1054" s="7"/>
      <c r="J1054" s="7"/>
      <c r="K1054" s="7"/>
      <c r="L1054" s="7"/>
      <c r="M1054" s="7"/>
      <c r="N1054" s="7"/>
      <c r="O1054" s="7"/>
    </row>
    <row r="1055" spans="1:15" ht="12.75" customHeight="1">
      <c r="A1055" s="7"/>
      <c r="B1055" s="7"/>
      <c r="C1055" s="7"/>
      <c r="D1055" s="7"/>
      <c r="E1055" s="7"/>
      <c r="F1055" s="7"/>
      <c r="G1055" s="7"/>
      <c r="H1055" s="7"/>
      <c r="I1055" s="7"/>
      <c r="J1055" s="7"/>
      <c r="K1055" s="7"/>
      <c r="L1055" s="7"/>
      <c r="M1055" s="7"/>
      <c r="N1055" s="7"/>
      <c r="O1055" s="7"/>
    </row>
    <row r="1056" spans="1:15" ht="12.75" customHeight="1">
      <c r="A1056" s="7"/>
      <c r="B1056" s="7"/>
      <c r="C1056" s="7"/>
      <c r="D1056" s="7"/>
      <c r="E1056" s="7"/>
      <c r="F1056" s="7"/>
      <c r="G1056" s="7"/>
      <c r="H1056" s="7"/>
      <c r="I1056" s="7"/>
      <c r="J1056" s="7"/>
      <c r="K1056" s="7"/>
      <c r="L1056" s="7"/>
      <c r="M1056" s="7"/>
      <c r="N1056" s="7"/>
      <c r="O1056" s="7"/>
    </row>
    <row r="1057" spans="1:15" ht="12.75" customHeight="1">
      <c r="A1057" s="7"/>
      <c r="B1057" s="7"/>
      <c r="C1057" s="7"/>
      <c r="D1057" s="7"/>
      <c r="E1057" s="7"/>
      <c r="F1057" s="7"/>
      <c r="G1057" s="7"/>
      <c r="H1057" s="7"/>
      <c r="I1057" s="7"/>
      <c r="J1057" s="7"/>
      <c r="K1057" s="7"/>
      <c r="L1057" s="7"/>
      <c r="M1057" s="7"/>
      <c r="N1057" s="7"/>
      <c r="O1057" s="7"/>
    </row>
    <row r="1058" spans="1:15" ht="12.75" customHeight="1">
      <c r="A1058" s="7"/>
      <c r="B1058" s="7"/>
      <c r="C1058" s="7"/>
      <c r="D1058" s="7"/>
      <c r="E1058" s="7"/>
      <c r="F1058" s="7"/>
      <c r="G1058" s="7"/>
      <c r="H1058" s="7"/>
      <c r="I1058" s="7"/>
      <c r="J1058" s="7"/>
      <c r="K1058" s="7"/>
      <c r="L1058" s="7"/>
      <c r="M1058" s="7"/>
      <c r="N1058" s="7"/>
      <c r="O1058" s="7"/>
    </row>
    <row r="1059" spans="1:15" ht="12.75" customHeight="1">
      <c r="A1059" s="7"/>
      <c r="B1059" s="7"/>
      <c r="C1059" s="7"/>
      <c r="D1059" s="7"/>
      <c r="E1059" s="7"/>
      <c r="F1059" s="7"/>
      <c r="G1059" s="7"/>
      <c r="H1059" s="7"/>
      <c r="I1059" s="7"/>
      <c r="J1059" s="7"/>
      <c r="K1059" s="7"/>
      <c r="L1059" s="7"/>
      <c r="M1059" s="7"/>
      <c r="N1059" s="7"/>
      <c r="O1059" s="7"/>
    </row>
    <row r="1060" spans="1:15" ht="12.75" customHeight="1">
      <c r="A1060" s="7"/>
      <c r="B1060" s="7"/>
      <c r="C1060" s="7"/>
      <c r="D1060" s="7"/>
      <c r="E1060" s="7"/>
      <c r="F1060" s="7"/>
      <c r="G1060" s="7"/>
      <c r="H1060" s="7"/>
      <c r="I1060" s="7"/>
      <c r="J1060" s="7"/>
      <c r="K1060" s="7"/>
      <c r="L1060" s="7"/>
      <c r="M1060" s="7"/>
      <c r="N1060" s="7"/>
      <c r="O1060" s="7"/>
    </row>
    <row r="1061" spans="1:15" ht="12.75" customHeight="1">
      <c r="A1061" s="7"/>
      <c r="B1061" s="7"/>
      <c r="C1061" s="7"/>
      <c r="D1061" s="7"/>
      <c r="E1061" s="7"/>
      <c r="F1061" s="7"/>
      <c r="G1061" s="7"/>
      <c r="H1061" s="7"/>
      <c r="I1061" s="7"/>
      <c r="J1061" s="7"/>
      <c r="K1061" s="7"/>
      <c r="L1061" s="7"/>
      <c r="M1061" s="7"/>
      <c r="N1061" s="7"/>
      <c r="O1061" s="7"/>
    </row>
    <row r="1062" spans="1:15" ht="12.75" customHeight="1">
      <c r="A1062" s="7"/>
      <c r="B1062" s="7"/>
      <c r="C1062" s="7"/>
      <c r="D1062" s="7"/>
      <c r="E1062" s="7"/>
      <c r="F1062" s="7"/>
      <c r="G1062" s="7"/>
      <c r="H1062" s="7"/>
      <c r="I1062" s="7"/>
      <c r="J1062" s="7"/>
      <c r="K1062" s="7"/>
      <c r="L1062" s="7"/>
      <c r="M1062" s="7"/>
      <c r="N1062" s="7"/>
      <c r="O1062" s="7"/>
    </row>
  </sheetData>
  <mergeCells count="3">
    <mergeCell ref="B2:E2"/>
    <mergeCell ref="B3:E3"/>
    <mergeCell ref="B4:E4"/>
  </mergeCells>
  <dataValidations count="1">
    <dataValidation type="list" allowBlank="1" showErrorMessage="1" sqref="G2:G3 J2:J3 M2:M3 G9 J9 M9 F11:F21 I11:I21 L11:L21 F23:F56 I23:I56 L23:L56 F58:F63 I58:I63 L58:L63 F65:F66 I65:I66 L65:L66 F68:F72 I68:I72 L68:L72 F74:F77 I74:I77 L74:L77 F79:F81 I79:I81 L79:L81 G82:G209 J82:J209 M82:M209" xr:uid="{00000000-0002-0000-0500-000000000000}">
      <formula1>$R$2:$R$5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869"/>
  <sheetViews>
    <sheetView tabSelected="1" topLeftCell="C1" workbookViewId="0"/>
  </sheetViews>
  <sheetFormatPr defaultColWidth="12.6640625" defaultRowHeight="15" customHeight="1" outlineLevelRow="1" outlineLevelCol="1"/>
  <cols>
    <col min="1" max="1" width="21.77734375" customWidth="1"/>
    <col min="2" max="2" width="34.44140625" customWidth="1"/>
    <col min="3" max="3" width="34.109375" customWidth="1"/>
    <col min="4" max="4" width="34.6640625" customWidth="1"/>
    <col min="5" max="5" width="28.33203125" customWidth="1"/>
    <col min="6" max="6" width="9.33203125" customWidth="1"/>
    <col min="7" max="7" width="10.6640625" customWidth="1" outlineLevel="1"/>
    <col min="8" max="8" width="10.109375" customWidth="1" outlineLevel="1"/>
    <col min="9" max="9" width="9.33203125" customWidth="1"/>
    <col min="10" max="10" width="10.6640625" customWidth="1" outlineLevel="1"/>
    <col min="11" max="11" width="8.109375" customWidth="1" outlineLevel="1"/>
    <col min="12" max="12" width="9.33203125" customWidth="1"/>
    <col min="13" max="13" width="10.6640625" customWidth="1" outlineLevel="1"/>
    <col min="14" max="14" width="9.109375"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3" t="s">
        <v>575</v>
      </c>
      <c r="C2" s="194"/>
      <c r="D2" s="194"/>
      <c r="E2" s="195"/>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6" t="s">
        <v>576</v>
      </c>
      <c r="C3" s="178"/>
      <c r="D3" s="178"/>
      <c r="E3" s="197"/>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6">
        <v>5</v>
      </c>
      <c r="C4" s="178"/>
      <c r="D4" s="178"/>
      <c r="E4" s="197"/>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COUNTIF($F10:$F867,B5)</f>
        <v>5</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COUNTIF($F10:$F867,B5)</f>
        <v>5</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COUNTIF($F10:$F867,B5)</f>
        <v>5</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64" t="s">
        <v>60</v>
      </c>
      <c r="B10" s="164" t="s">
        <v>61</v>
      </c>
      <c r="C10" s="164" t="s">
        <v>62</v>
      </c>
      <c r="D10" s="164" t="s">
        <v>63</v>
      </c>
      <c r="E10" s="164" t="s">
        <v>64</v>
      </c>
      <c r="F10" s="164" t="s">
        <v>57</v>
      </c>
      <c r="G10" s="164" t="s">
        <v>65</v>
      </c>
      <c r="H10" s="164" t="s">
        <v>66</v>
      </c>
      <c r="I10" s="164" t="s">
        <v>58</v>
      </c>
      <c r="J10" s="164" t="s">
        <v>65</v>
      </c>
      <c r="K10" s="164" t="s">
        <v>66</v>
      </c>
      <c r="L10" s="164" t="s">
        <v>59</v>
      </c>
      <c r="M10" s="164" t="s">
        <v>65</v>
      </c>
      <c r="N10" s="164" t="s">
        <v>66</v>
      </c>
      <c r="O10" s="164" t="s">
        <v>67</v>
      </c>
      <c r="P10" s="144"/>
      <c r="Q10" s="165"/>
      <c r="R10" s="144"/>
      <c r="S10" s="144"/>
      <c r="T10" s="144"/>
      <c r="U10" s="144"/>
      <c r="V10" s="144"/>
      <c r="W10" s="144"/>
      <c r="X10" s="144"/>
      <c r="Y10" s="144"/>
      <c r="Z10" s="144"/>
    </row>
    <row r="11" spans="1:26" ht="15.75" customHeight="1">
      <c r="A11" s="155" t="s">
        <v>577</v>
      </c>
      <c r="B11" s="155"/>
      <c r="C11" s="155"/>
      <c r="D11" s="155"/>
      <c r="E11" s="155"/>
      <c r="F11" s="155"/>
      <c r="G11" s="155"/>
      <c r="H11" s="155"/>
      <c r="I11" s="155"/>
      <c r="J11" s="155"/>
      <c r="K11" s="155"/>
      <c r="L11" s="155"/>
      <c r="M11" s="155"/>
      <c r="N11" s="155"/>
      <c r="O11" s="155"/>
      <c r="P11" s="166"/>
      <c r="Q11" s="166"/>
      <c r="R11" s="166"/>
      <c r="S11" s="166"/>
      <c r="T11" s="166"/>
      <c r="U11" s="166"/>
      <c r="V11" s="166"/>
      <c r="W11" s="166"/>
      <c r="X11" s="157"/>
      <c r="Y11" s="157"/>
      <c r="Z11" s="157"/>
    </row>
    <row r="12" spans="1:26" ht="12.75" customHeight="1" outlineLevel="1">
      <c r="A12" s="158" t="s">
        <v>578</v>
      </c>
      <c r="B12" s="126" t="s">
        <v>579</v>
      </c>
      <c r="C12" s="158" t="s">
        <v>580</v>
      </c>
      <c r="D12" s="158" t="s">
        <v>581</v>
      </c>
      <c r="E12" s="158" t="s">
        <v>582</v>
      </c>
      <c r="F12" s="158" t="s">
        <v>43</v>
      </c>
      <c r="G12" s="159">
        <v>45998</v>
      </c>
      <c r="H12" s="158" t="s">
        <v>4</v>
      </c>
      <c r="I12" s="158" t="s">
        <v>43</v>
      </c>
      <c r="J12" s="159">
        <v>46001</v>
      </c>
      <c r="K12" s="158" t="s">
        <v>4</v>
      </c>
      <c r="L12" s="158" t="s">
        <v>43</v>
      </c>
      <c r="M12" s="159">
        <v>46003</v>
      </c>
      <c r="N12" s="158" t="s">
        <v>4</v>
      </c>
      <c r="O12" s="158"/>
      <c r="P12" s="40"/>
      <c r="Q12" s="160"/>
      <c r="R12" s="40"/>
      <c r="S12" s="40"/>
      <c r="T12" s="40"/>
      <c r="U12" s="40"/>
      <c r="V12" s="40"/>
      <c r="W12" s="40"/>
      <c r="X12" s="40"/>
      <c r="Y12" s="40"/>
      <c r="Z12" s="40"/>
    </row>
    <row r="13" spans="1:26" ht="12.75" customHeight="1" outlineLevel="1">
      <c r="A13" s="158" t="s">
        <v>578</v>
      </c>
      <c r="B13" s="126" t="s">
        <v>583</v>
      </c>
      <c r="C13" s="158" t="s">
        <v>584</v>
      </c>
      <c r="D13" s="126" t="s">
        <v>585</v>
      </c>
      <c r="E13" s="158" t="s">
        <v>582</v>
      </c>
      <c r="F13" s="126" t="s">
        <v>43</v>
      </c>
      <c r="G13" s="159">
        <v>45998</v>
      </c>
      <c r="H13" s="158" t="s">
        <v>4</v>
      </c>
      <c r="I13" s="158" t="s">
        <v>43</v>
      </c>
      <c r="J13" s="159">
        <v>46001</v>
      </c>
      <c r="K13" s="158" t="s">
        <v>4</v>
      </c>
      <c r="L13" s="158" t="s">
        <v>43</v>
      </c>
      <c r="M13" s="159">
        <v>46003</v>
      </c>
      <c r="N13" s="158" t="s">
        <v>4</v>
      </c>
      <c r="O13" s="126"/>
      <c r="P13" s="7"/>
      <c r="Q13" s="101"/>
      <c r="R13" s="7"/>
      <c r="S13" s="7"/>
      <c r="T13" s="7"/>
      <c r="U13" s="7"/>
      <c r="V13" s="7"/>
      <c r="W13" s="7"/>
      <c r="X13" s="7"/>
      <c r="Y13" s="7"/>
      <c r="Z13" s="7"/>
    </row>
    <row r="14" spans="1:26" ht="12.75" customHeight="1" outlineLevel="1">
      <c r="A14" s="158" t="s">
        <v>578</v>
      </c>
      <c r="B14" s="126" t="s">
        <v>586</v>
      </c>
      <c r="C14" s="126" t="s">
        <v>587</v>
      </c>
      <c r="D14" s="126" t="s">
        <v>588</v>
      </c>
      <c r="E14" s="158" t="s">
        <v>582</v>
      </c>
      <c r="F14" s="126" t="s">
        <v>43</v>
      </c>
      <c r="G14" s="159">
        <v>45998</v>
      </c>
      <c r="H14" s="158" t="s">
        <v>4</v>
      </c>
      <c r="I14" s="158" t="s">
        <v>43</v>
      </c>
      <c r="J14" s="159">
        <v>46001</v>
      </c>
      <c r="K14" s="158" t="s">
        <v>4</v>
      </c>
      <c r="L14" s="158" t="s">
        <v>43</v>
      </c>
      <c r="M14" s="159">
        <v>46003</v>
      </c>
      <c r="N14" s="158" t="s">
        <v>4</v>
      </c>
      <c r="O14" s="126"/>
      <c r="P14" s="7"/>
      <c r="Q14" s="101"/>
      <c r="R14" s="7"/>
      <c r="S14" s="7"/>
      <c r="T14" s="7"/>
      <c r="U14" s="7"/>
      <c r="V14" s="7"/>
      <c r="W14" s="7"/>
      <c r="X14" s="7"/>
      <c r="Y14" s="7"/>
      <c r="Z14" s="7"/>
    </row>
    <row r="15" spans="1:26" ht="12.75" customHeight="1" outlineLevel="1">
      <c r="A15" s="167" t="s">
        <v>578</v>
      </c>
      <c r="B15" s="152" t="s">
        <v>589</v>
      </c>
      <c r="C15" s="152" t="s">
        <v>590</v>
      </c>
      <c r="D15" s="152" t="s">
        <v>591</v>
      </c>
      <c r="E15" s="126" t="s">
        <v>592</v>
      </c>
      <c r="F15" s="152" t="s">
        <v>43</v>
      </c>
      <c r="G15" s="159">
        <v>45998</v>
      </c>
      <c r="H15" s="167" t="s">
        <v>4</v>
      </c>
      <c r="I15" s="167" t="s">
        <v>43</v>
      </c>
      <c r="J15" s="159">
        <v>46001</v>
      </c>
      <c r="K15" s="167" t="s">
        <v>4</v>
      </c>
      <c r="L15" s="167" t="s">
        <v>43</v>
      </c>
      <c r="M15" s="159">
        <v>46003</v>
      </c>
      <c r="N15" s="167" t="s">
        <v>4</v>
      </c>
      <c r="O15" s="152"/>
      <c r="P15" s="153"/>
      <c r="Q15" s="154"/>
      <c r="R15" s="153"/>
      <c r="S15" s="153"/>
      <c r="T15" s="153"/>
      <c r="U15" s="153"/>
      <c r="V15" s="153"/>
      <c r="W15" s="153"/>
      <c r="X15" s="153"/>
      <c r="Y15" s="153"/>
      <c r="Z15" s="153"/>
    </row>
    <row r="16" spans="1:26" ht="12.75" customHeight="1" outlineLevel="1">
      <c r="A16" s="126" t="s">
        <v>578</v>
      </c>
      <c r="B16" s="126" t="s">
        <v>593</v>
      </c>
      <c r="C16" s="126" t="s">
        <v>594</v>
      </c>
      <c r="D16" s="126" t="s">
        <v>595</v>
      </c>
      <c r="E16" s="158" t="s">
        <v>582</v>
      </c>
      <c r="F16" s="126" t="s">
        <v>43</v>
      </c>
      <c r="G16" s="159">
        <v>45998</v>
      </c>
      <c r="H16" s="126" t="s">
        <v>4</v>
      </c>
      <c r="I16" s="126" t="s">
        <v>43</v>
      </c>
      <c r="J16" s="159">
        <v>46001</v>
      </c>
      <c r="K16" s="126" t="s">
        <v>4</v>
      </c>
      <c r="L16" s="126" t="s">
        <v>43</v>
      </c>
      <c r="M16" s="159">
        <v>46003</v>
      </c>
      <c r="N16" s="126" t="s">
        <v>4</v>
      </c>
      <c r="O16" s="126"/>
      <c r="P16" s="168"/>
      <c r="Q16" s="160"/>
      <c r="R16" s="40"/>
      <c r="S16" s="40"/>
      <c r="T16" s="40"/>
      <c r="U16" s="40"/>
      <c r="V16" s="40"/>
      <c r="W16" s="40"/>
      <c r="X16" s="40"/>
      <c r="Y16" s="169"/>
      <c r="Z16" s="169"/>
    </row>
    <row r="17" spans="1:26" ht="12.75" customHeight="1">
      <c r="A17" s="40"/>
      <c r="B17" s="40"/>
      <c r="C17" s="40"/>
      <c r="D17" s="40"/>
      <c r="E17" s="40"/>
      <c r="F17" s="40"/>
      <c r="G17" s="40"/>
      <c r="H17" s="40"/>
      <c r="I17" s="40"/>
      <c r="J17" s="40"/>
      <c r="K17" s="40"/>
      <c r="L17" s="40"/>
      <c r="M17" s="40"/>
      <c r="N17" s="40"/>
      <c r="O17" s="40"/>
      <c r="P17" s="7"/>
      <c r="Q17" s="101"/>
      <c r="R17" s="7"/>
      <c r="S17" s="7"/>
      <c r="T17" s="7"/>
      <c r="U17" s="7"/>
      <c r="V17" s="7"/>
      <c r="W17" s="7"/>
      <c r="X17" s="7"/>
      <c r="Y17" s="40"/>
      <c r="Z17" s="40"/>
    </row>
    <row r="18" spans="1:26" ht="12.75" customHeight="1">
      <c r="A18" s="7"/>
      <c r="B18" s="7"/>
      <c r="C18" s="7"/>
      <c r="D18" s="7"/>
      <c r="E18" s="7"/>
      <c r="F18" s="7"/>
      <c r="G18" s="7"/>
      <c r="H18" s="7"/>
      <c r="I18" s="7"/>
      <c r="J18" s="7"/>
      <c r="K18" s="7"/>
      <c r="L18" s="7"/>
      <c r="M18" s="7"/>
      <c r="N18" s="7"/>
      <c r="O18" s="7"/>
      <c r="P18" s="7"/>
      <c r="Q18" s="101"/>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101"/>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101"/>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101"/>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101"/>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101"/>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101"/>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101"/>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101"/>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101"/>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101"/>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101"/>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101"/>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101"/>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101"/>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101"/>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101"/>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101"/>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101"/>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101"/>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101"/>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101"/>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01"/>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01"/>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01"/>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01"/>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01"/>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Y865" s="7"/>
      <c r="Z865" s="7"/>
    </row>
    <row r="866" spans="1:26" ht="12.75" customHeight="1">
      <c r="A866" s="7"/>
      <c r="B866" s="7"/>
      <c r="C866" s="7"/>
      <c r="D866" s="7"/>
      <c r="E866" s="7"/>
      <c r="F866" s="7"/>
      <c r="G866" s="7"/>
      <c r="H866" s="7"/>
      <c r="I866" s="7"/>
      <c r="J866" s="7"/>
      <c r="K866" s="7"/>
      <c r="L866" s="7"/>
      <c r="M866" s="7"/>
      <c r="N866" s="7"/>
      <c r="O866" s="7"/>
    </row>
    <row r="867" spans="1:26" ht="12.75" customHeight="1">
      <c r="A867" s="7"/>
      <c r="B867" s="7"/>
      <c r="C867" s="7"/>
      <c r="D867" s="7"/>
      <c r="E867" s="7"/>
      <c r="F867" s="7"/>
      <c r="G867" s="7"/>
      <c r="H867" s="7"/>
      <c r="I867" s="7"/>
      <c r="J867" s="7"/>
      <c r="K867" s="7"/>
      <c r="L867" s="7"/>
      <c r="M867" s="7"/>
      <c r="N867" s="7"/>
      <c r="O867" s="7"/>
    </row>
    <row r="868" spans="1:26" ht="12.75" customHeight="1">
      <c r="A868" s="7"/>
      <c r="B868" s="7"/>
      <c r="C868" s="7"/>
      <c r="D868" s="7"/>
      <c r="E868" s="7"/>
      <c r="F868" s="7"/>
      <c r="G868" s="7"/>
      <c r="H868" s="7"/>
      <c r="I868" s="7"/>
      <c r="J868" s="7"/>
      <c r="K868" s="7"/>
      <c r="L868" s="7"/>
      <c r="M868" s="7"/>
      <c r="N868" s="7"/>
      <c r="O868" s="7"/>
    </row>
    <row r="869" spans="1:26" ht="12.75" customHeight="1">
      <c r="A869" s="7"/>
      <c r="B869" s="7"/>
      <c r="C869" s="7"/>
      <c r="D869" s="7"/>
      <c r="E869" s="7"/>
      <c r="F869" s="7"/>
      <c r="G869" s="7"/>
      <c r="H869" s="7"/>
      <c r="I869" s="7"/>
      <c r="J869" s="7"/>
      <c r="K869" s="7"/>
      <c r="L869" s="7"/>
      <c r="M869" s="7"/>
      <c r="N869" s="7"/>
      <c r="O869" s="7"/>
    </row>
  </sheetData>
  <mergeCells count="3">
    <mergeCell ref="B2:E2"/>
    <mergeCell ref="B3:E3"/>
    <mergeCell ref="B4:E4"/>
  </mergeCells>
  <dataValidations count="1">
    <dataValidation type="list" allowBlank="1" showErrorMessage="1" sqref="G2:G3 J2:J3 M2:M3 G9 J9 M9 F12:F16 I12:I16 L12:L16" xr:uid="{00000000-0002-0000-0600-000000000000}">
      <formula1>$R$2:$R$5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17"/>
  <sheetViews>
    <sheetView topLeftCell="B1" workbookViewId="0">
      <pane ySplit="9" topLeftCell="A19" activePane="bottomLeft" state="frozen"/>
      <selection pane="bottomLeft" activeCell="B11" sqref="B11"/>
    </sheetView>
  </sheetViews>
  <sheetFormatPr defaultColWidth="12.6640625" defaultRowHeight="15" customHeight="1" outlineLevelRow="1" outlineLevelCol="1"/>
  <cols>
    <col min="1" max="1" width="19.44140625" customWidth="1"/>
    <col min="2" max="2" width="34.44140625" customWidth="1"/>
    <col min="3" max="3" width="34.109375" customWidth="1"/>
    <col min="4" max="4" width="34.6640625" customWidth="1"/>
    <col min="5" max="5" width="28.33203125" customWidth="1"/>
    <col min="6" max="6" width="9.33203125" customWidth="1"/>
    <col min="7" max="7" width="10.6640625" customWidth="1" outlineLevel="1"/>
    <col min="8" max="8" width="7" customWidth="1" outlineLevel="1"/>
    <col min="9" max="9" width="9.33203125" customWidth="1"/>
    <col min="10" max="10" width="10.6640625" customWidth="1" outlineLevel="1"/>
    <col min="11" max="11" width="7" customWidth="1" outlineLevel="1"/>
    <col min="12" max="12" width="9.33203125" customWidth="1"/>
    <col min="13" max="13" width="10.66406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3" t="s">
        <v>35</v>
      </c>
      <c r="C2" s="194"/>
      <c r="D2" s="194"/>
      <c r="E2" s="195"/>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6" t="s">
        <v>596</v>
      </c>
      <c r="C3" s="178"/>
      <c r="D3" s="178"/>
      <c r="E3" s="197"/>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6">
        <v>15</v>
      </c>
      <c r="C4" s="178"/>
      <c r="D4" s="178"/>
      <c r="E4" s="179"/>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COUNTIF($F10:$F1015,B5)</f>
        <v>15</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COUNTIF($F10:$F1015,B5)</f>
        <v>15</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COUNTIF($F10:$F1015,B5)</f>
        <v>15</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131</v>
      </c>
      <c r="B11" s="134"/>
      <c r="C11" s="135"/>
      <c r="D11" s="135"/>
      <c r="E11" s="135"/>
      <c r="F11" s="135"/>
      <c r="G11" s="135"/>
      <c r="H11" s="135"/>
      <c r="I11" s="135"/>
      <c r="J11" s="135"/>
      <c r="K11" s="135"/>
      <c r="L11" s="135"/>
      <c r="M11" s="135"/>
      <c r="N11" s="135"/>
      <c r="O11" s="136"/>
      <c r="P11" s="106"/>
      <c r="Q11" s="125"/>
      <c r="R11" s="106"/>
      <c r="S11" s="106"/>
      <c r="T11" s="106"/>
      <c r="U11" s="106"/>
      <c r="V11" s="106"/>
      <c r="W11" s="106"/>
      <c r="X11" s="106"/>
      <c r="Y11" s="106"/>
      <c r="Z11" s="106"/>
    </row>
    <row r="12" spans="1:26" ht="12.75" customHeight="1" outlineLevel="1">
      <c r="A12" s="126" t="s">
        <v>132</v>
      </c>
      <c r="B12" s="126" t="s">
        <v>133</v>
      </c>
      <c r="C12" s="126" t="s">
        <v>134</v>
      </c>
      <c r="D12" s="126" t="s">
        <v>135</v>
      </c>
      <c r="E12" s="126" t="s">
        <v>136</v>
      </c>
      <c r="F12" s="126" t="s">
        <v>43</v>
      </c>
      <c r="G12" s="128">
        <v>45998</v>
      </c>
      <c r="H12" s="126" t="s">
        <v>4</v>
      </c>
      <c r="I12" s="126" t="s">
        <v>43</v>
      </c>
      <c r="J12" s="128">
        <v>46001</v>
      </c>
      <c r="K12" s="126" t="s">
        <v>4</v>
      </c>
      <c r="L12" s="126" t="s">
        <v>43</v>
      </c>
      <c r="M12" s="128">
        <v>46003</v>
      </c>
      <c r="N12" s="126" t="s">
        <v>4</v>
      </c>
      <c r="O12" s="126"/>
      <c r="P12" s="7"/>
      <c r="Q12" s="130"/>
      <c r="R12" s="7"/>
      <c r="S12" s="7"/>
      <c r="T12" s="7"/>
      <c r="U12" s="7"/>
      <c r="V12" s="7"/>
      <c r="W12" s="7"/>
      <c r="X12" s="7"/>
      <c r="Y12" s="7"/>
      <c r="Z12" s="7"/>
    </row>
    <row r="13" spans="1:26" ht="12.75" customHeight="1" outlineLevel="1">
      <c r="A13" s="126" t="s">
        <v>137</v>
      </c>
      <c r="B13" s="126" t="s">
        <v>138</v>
      </c>
      <c r="C13" s="126" t="s">
        <v>139</v>
      </c>
      <c r="D13" s="126" t="s">
        <v>140</v>
      </c>
      <c r="E13" s="126" t="s">
        <v>136</v>
      </c>
      <c r="F13" s="126" t="s">
        <v>43</v>
      </c>
      <c r="G13" s="128">
        <v>45998</v>
      </c>
      <c r="H13" s="126" t="s">
        <v>4</v>
      </c>
      <c r="I13" s="126" t="s">
        <v>43</v>
      </c>
      <c r="J13" s="128">
        <v>46001</v>
      </c>
      <c r="K13" s="126" t="s">
        <v>4</v>
      </c>
      <c r="L13" s="126" t="s">
        <v>43</v>
      </c>
      <c r="M13" s="128">
        <v>46003</v>
      </c>
      <c r="N13" s="126" t="s">
        <v>4</v>
      </c>
      <c r="O13" s="138"/>
      <c r="P13" s="7"/>
      <c r="Q13" s="101"/>
      <c r="R13" s="7"/>
      <c r="S13" s="7"/>
      <c r="T13" s="7"/>
      <c r="U13" s="7"/>
      <c r="V13" s="7"/>
      <c r="W13" s="7"/>
      <c r="X13" s="7"/>
      <c r="Y13" s="7"/>
      <c r="Z13" s="7"/>
    </row>
    <row r="14" spans="1:26" ht="12.75" customHeight="1" outlineLevel="1">
      <c r="A14" s="126" t="s">
        <v>141</v>
      </c>
      <c r="B14" s="126" t="s">
        <v>142</v>
      </c>
      <c r="C14" s="126" t="s">
        <v>143</v>
      </c>
      <c r="D14" s="126" t="s">
        <v>144</v>
      </c>
      <c r="E14" s="126" t="s">
        <v>136</v>
      </c>
      <c r="F14" s="126" t="s">
        <v>43</v>
      </c>
      <c r="G14" s="128">
        <v>45998</v>
      </c>
      <c r="H14" s="126" t="s">
        <v>4</v>
      </c>
      <c r="I14" s="126" t="s">
        <v>43</v>
      </c>
      <c r="J14" s="128">
        <v>46001</v>
      </c>
      <c r="K14" s="126" t="s">
        <v>4</v>
      </c>
      <c r="L14" s="126" t="s">
        <v>43</v>
      </c>
      <c r="M14" s="128">
        <v>46003</v>
      </c>
      <c r="N14" s="126" t="s">
        <v>4</v>
      </c>
      <c r="O14" s="138"/>
      <c r="P14" s="7"/>
      <c r="Q14" s="101"/>
      <c r="R14" s="7"/>
      <c r="S14" s="7"/>
      <c r="T14" s="7"/>
      <c r="U14" s="7"/>
      <c r="V14" s="7"/>
      <c r="W14" s="7"/>
      <c r="X14" s="7"/>
      <c r="Y14" s="7"/>
      <c r="Z14" s="7"/>
    </row>
    <row r="15" spans="1:26" ht="12.75" customHeight="1" outlineLevel="1">
      <c r="A15" s="126" t="s">
        <v>145</v>
      </c>
      <c r="B15" s="126" t="s">
        <v>146</v>
      </c>
      <c r="C15" s="126" t="s">
        <v>147</v>
      </c>
      <c r="D15" s="126" t="s">
        <v>148</v>
      </c>
      <c r="E15" s="126" t="s">
        <v>136</v>
      </c>
      <c r="F15" s="126" t="s">
        <v>43</v>
      </c>
      <c r="G15" s="128">
        <v>45998</v>
      </c>
      <c r="H15" s="126" t="s">
        <v>4</v>
      </c>
      <c r="I15" s="126" t="s">
        <v>43</v>
      </c>
      <c r="J15" s="128">
        <v>46001</v>
      </c>
      <c r="K15" s="126" t="s">
        <v>4</v>
      </c>
      <c r="L15" s="126" t="s">
        <v>43</v>
      </c>
      <c r="M15" s="128">
        <v>46003</v>
      </c>
      <c r="N15" s="126" t="s">
        <v>4</v>
      </c>
      <c r="O15" s="138"/>
      <c r="P15" s="7"/>
      <c r="Q15" s="101"/>
      <c r="R15" s="7"/>
      <c r="S15" s="7"/>
      <c r="T15" s="7"/>
      <c r="U15" s="7"/>
      <c r="V15" s="7"/>
      <c r="W15" s="7"/>
      <c r="X15" s="7"/>
      <c r="Y15" s="7"/>
      <c r="Z15" s="7"/>
    </row>
    <row r="16" spans="1:26" ht="12.75" customHeight="1" outlineLevel="1">
      <c r="A16" s="126" t="s">
        <v>149</v>
      </c>
      <c r="B16" s="126" t="s">
        <v>150</v>
      </c>
      <c r="C16" s="126" t="s">
        <v>151</v>
      </c>
      <c r="D16" s="126" t="s">
        <v>148</v>
      </c>
      <c r="E16" s="126" t="s">
        <v>136</v>
      </c>
      <c r="F16" s="126" t="s">
        <v>43</v>
      </c>
      <c r="G16" s="128">
        <v>45998</v>
      </c>
      <c r="H16" s="126" t="s">
        <v>4</v>
      </c>
      <c r="I16" s="126" t="s">
        <v>43</v>
      </c>
      <c r="J16" s="128">
        <v>46001</v>
      </c>
      <c r="K16" s="126" t="s">
        <v>4</v>
      </c>
      <c r="L16" s="126" t="s">
        <v>43</v>
      </c>
      <c r="M16" s="128">
        <v>46003</v>
      </c>
      <c r="N16" s="126" t="s">
        <v>4</v>
      </c>
      <c r="O16" s="138"/>
      <c r="P16" s="7"/>
      <c r="Q16" s="101"/>
      <c r="R16" s="7"/>
      <c r="S16" s="7"/>
      <c r="T16" s="7"/>
      <c r="U16" s="7"/>
      <c r="V16" s="7"/>
      <c r="W16" s="7"/>
      <c r="X16" s="7"/>
      <c r="Y16" s="7"/>
      <c r="Z16" s="7"/>
    </row>
    <row r="17" spans="1:26" ht="12.75" customHeight="1" outlineLevel="1">
      <c r="A17" s="126" t="s">
        <v>152</v>
      </c>
      <c r="B17" s="126" t="s">
        <v>153</v>
      </c>
      <c r="C17" s="126" t="s">
        <v>154</v>
      </c>
      <c r="D17" s="126" t="s">
        <v>155</v>
      </c>
      <c r="E17" s="126" t="s">
        <v>136</v>
      </c>
      <c r="F17" s="126" t="s">
        <v>43</v>
      </c>
      <c r="G17" s="128">
        <v>45998</v>
      </c>
      <c r="H17" s="126" t="s">
        <v>4</v>
      </c>
      <c r="I17" s="126" t="s">
        <v>43</v>
      </c>
      <c r="J17" s="128">
        <v>46001</v>
      </c>
      <c r="K17" s="126" t="s">
        <v>4</v>
      </c>
      <c r="L17" s="126" t="s">
        <v>43</v>
      </c>
      <c r="M17" s="128">
        <v>46003</v>
      </c>
      <c r="N17" s="126" t="s">
        <v>4</v>
      </c>
      <c r="O17" s="138"/>
      <c r="P17" s="7"/>
      <c r="Q17" s="101"/>
      <c r="R17" s="7"/>
      <c r="S17" s="7"/>
      <c r="T17" s="7"/>
      <c r="U17" s="7"/>
      <c r="V17" s="7"/>
      <c r="W17" s="7"/>
      <c r="X17" s="7"/>
      <c r="Y17" s="7"/>
      <c r="Z17" s="7"/>
    </row>
    <row r="18" spans="1:26" ht="12.75" customHeight="1" outlineLevel="1">
      <c r="A18" s="126" t="s">
        <v>156</v>
      </c>
      <c r="B18" s="126" t="s">
        <v>153</v>
      </c>
      <c r="C18" s="126" t="s">
        <v>154</v>
      </c>
      <c r="D18" s="126" t="s">
        <v>155</v>
      </c>
      <c r="E18" s="126" t="s">
        <v>136</v>
      </c>
      <c r="F18" s="126" t="s">
        <v>43</v>
      </c>
      <c r="G18" s="128">
        <v>45998</v>
      </c>
      <c r="H18" s="126" t="s">
        <v>4</v>
      </c>
      <c r="I18" s="126" t="s">
        <v>43</v>
      </c>
      <c r="J18" s="128">
        <v>46001</v>
      </c>
      <c r="K18" s="126" t="s">
        <v>4</v>
      </c>
      <c r="L18" s="126" t="s">
        <v>43</v>
      </c>
      <c r="M18" s="128">
        <v>46003</v>
      </c>
      <c r="N18" s="126" t="s">
        <v>4</v>
      </c>
      <c r="O18" s="138"/>
      <c r="P18" s="7"/>
      <c r="Q18" s="101"/>
      <c r="R18" s="7"/>
      <c r="S18" s="7"/>
      <c r="T18" s="7"/>
      <c r="U18" s="7"/>
      <c r="V18" s="7"/>
      <c r="W18" s="7"/>
      <c r="X18" s="7"/>
      <c r="Y18" s="7"/>
      <c r="Z18" s="7"/>
    </row>
    <row r="19" spans="1:26" ht="12.75" customHeight="1" outlineLevel="1">
      <c r="A19" s="126" t="s">
        <v>157</v>
      </c>
      <c r="B19" s="126" t="s">
        <v>158</v>
      </c>
      <c r="C19" s="126" t="s">
        <v>159</v>
      </c>
      <c r="D19" s="126" t="s">
        <v>160</v>
      </c>
      <c r="E19" s="126" t="s">
        <v>161</v>
      </c>
      <c r="F19" s="126" t="s">
        <v>43</v>
      </c>
      <c r="G19" s="128">
        <v>45998</v>
      </c>
      <c r="H19" s="126" t="s">
        <v>4</v>
      </c>
      <c r="I19" s="126" t="s">
        <v>43</v>
      </c>
      <c r="J19" s="128">
        <v>46001</v>
      </c>
      <c r="K19" s="126" t="s">
        <v>4</v>
      </c>
      <c r="L19" s="126" t="s">
        <v>43</v>
      </c>
      <c r="M19" s="128">
        <v>46003</v>
      </c>
      <c r="N19" s="126" t="s">
        <v>4</v>
      </c>
      <c r="O19" s="138"/>
      <c r="P19" s="7"/>
      <c r="Q19" s="101"/>
      <c r="R19" s="7"/>
      <c r="S19" s="7"/>
      <c r="T19" s="7"/>
      <c r="U19" s="7"/>
      <c r="V19" s="7"/>
      <c r="W19" s="7"/>
      <c r="X19" s="7"/>
      <c r="Y19" s="7"/>
      <c r="Z19" s="7"/>
    </row>
    <row r="20" spans="1:26" ht="12.75" customHeight="1" outlineLevel="1">
      <c r="A20" s="126" t="s">
        <v>162</v>
      </c>
      <c r="B20" s="126" t="s">
        <v>163</v>
      </c>
      <c r="C20" s="126" t="s">
        <v>164</v>
      </c>
      <c r="D20" s="126" t="s">
        <v>165</v>
      </c>
      <c r="E20" s="126" t="s">
        <v>161</v>
      </c>
      <c r="F20" s="126" t="s">
        <v>43</v>
      </c>
      <c r="G20" s="128">
        <v>45998</v>
      </c>
      <c r="H20" s="126" t="s">
        <v>4</v>
      </c>
      <c r="I20" s="126" t="s">
        <v>43</v>
      </c>
      <c r="J20" s="128">
        <v>46001</v>
      </c>
      <c r="K20" s="126" t="s">
        <v>4</v>
      </c>
      <c r="L20" s="126" t="s">
        <v>43</v>
      </c>
      <c r="M20" s="128">
        <v>46003</v>
      </c>
      <c r="N20" s="126" t="s">
        <v>4</v>
      </c>
      <c r="O20" s="138"/>
      <c r="P20" s="7"/>
      <c r="Q20" s="101"/>
      <c r="R20" s="7"/>
      <c r="S20" s="7"/>
      <c r="T20" s="7"/>
      <c r="U20" s="7"/>
      <c r="V20" s="7"/>
      <c r="W20" s="7"/>
      <c r="X20" s="7"/>
      <c r="Y20" s="7"/>
      <c r="Z20" s="7"/>
    </row>
    <row r="21" spans="1:26" ht="12.75" customHeight="1" outlineLevel="1">
      <c r="A21" s="126" t="s">
        <v>166</v>
      </c>
      <c r="B21" s="126" t="s">
        <v>167</v>
      </c>
      <c r="C21" s="126" t="s">
        <v>168</v>
      </c>
      <c r="D21" s="126" t="s">
        <v>165</v>
      </c>
      <c r="E21" s="126" t="s">
        <v>161</v>
      </c>
      <c r="F21" s="126" t="s">
        <v>43</v>
      </c>
      <c r="G21" s="128">
        <v>45998</v>
      </c>
      <c r="H21" s="126" t="s">
        <v>4</v>
      </c>
      <c r="I21" s="126" t="s">
        <v>43</v>
      </c>
      <c r="J21" s="128">
        <v>46001</v>
      </c>
      <c r="K21" s="126" t="s">
        <v>4</v>
      </c>
      <c r="L21" s="126" t="s">
        <v>43</v>
      </c>
      <c r="M21" s="128">
        <v>46003</v>
      </c>
      <c r="N21" s="126" t="s">
        <v>4</v>
      </c>
      <c r="O21" s="138"/>
      <c r="P21" s="7"/>
      <c r="Q21" s="101"/>
      <c r="R21" s="7"/>
      <c r="S21" s="7"/>
      <c r="T21" s="7"/>
      <c r="U21" s="7"/>
      <c r="V21" s="7"/>
      <c r="W21" s="7"/>
      <c r="X21" s="7"/>
      <c r="Y21" s="7"/>
      <c r="Z21" s="7"/>
    </row>
    <row r="22" spans="1:26" ht="15.75" customHeight="1">
      <c r="A22" s="122" t="s">
        <v>597</v>
      </c>
      <c r="B22" s="134"/>
      <c r="C22" s="135"/>
      <c r="D22" s="135"/>
      <c r="E22" s="135"/>
      <c r="F22" s="135"/>
      <c r="G22" s="135"/>
      <c r="H22" s="135"/>
      <c r="I22" s="135"/>
      <c r="J22" s="135"/>
      <c r="K22" s="135"/>
      <c r="L22" s="135"/>
      <c r="M22" s="135"/>
      <c r="N22" s="135"/>
      <c r="O22" s="136"/>
      <c r="P22" s="144"/>
      <c r="Q22" s="145"/>
      <c r="R22" s="144"/>
      <c r="S22" s="144"/>
      <c r="T22" s="144"/>
      <c r="U22" s="144"/>
      <c r="V22" s="144"/>
      <c r="W22" s="144"/>
      <c r="X22" s="144"/>
      <c r="Y22" s="144"/>
      <c r="Z22" s="144"/>
    </row>
    <row r="23" spans="1:26" ht="12.75" customHeight="1" outlineLevel="1">
      <c r="A23" s="126" t="s">
        <v>598</v>
      </c>
      <c r="B23" s="126" t="s">
        <v>599</v>
      </c>
      <c r="C23" s="126" t="s">
        <v>600</v>
      </c>
      <c r="D23" s="126" t="s">
        <v>601</v>
      </c>
      <c r="E23" s="126" t="s">
        <v>602</v>
      </c>
      <c r="F23" s="126" t="s">
        <v>43</v>
      </c>
      <c r="G23" s="128">
        <v>45998</v>
      </c>
      <c r="H23" s="126" t="s">
        <v>4</v>
      </c>
      <c r="I23" s="126" t="s">
        <v>43</v>
      </c>
      <c r="J23" s="147">
        <v>46001</v>
      </c>
      <c r="K23" s="126" t="s">
        <v>4</v>
      </c>
      <c r="L23" s="126" t="s">
        <v>43</v>
      </c>
      <c r="M23" s="128">
        <v>46003</v>
      </c>
      <c r="N23" s="126" t="s">
        <v>4</v>
      </c>
      <c r="O23" s="126"/>
      <c r="P23" s="138"/>
      <c r="Q23" s="170"/>
      <c r="R23" s="138"/>
      <c r="S23" s="138"/>
      <c r="T23" s="138"/>
      <c r="U23" s="138"/>
      <c r="V23" s="138"/>
      <c r="W23" s="138"/>
      <c r="X23" s="138"/>
      <c r="Y23" s="138"/>
      <c r="Z23" s="138"/>
    </row>
    <row r="24" spans="1:26" ht="12.75" customHeight="1" outlineLevel="1">
      <c r="A24" s="126" t="s">
        <v>603</v>
      </c>
      <c r="B24" s="126" t="s">
        <v>604</v>
      </c>
      <c r="C24" s="126" t="s">
        <v>605</v>
      </c>
      <c r="D24" s="126" t="s">
        <v>606</v>
      </c>
      <c r="E24" s="126" t="s">
        <v>607</v>
      </c>
      <c r="F24" s="126" t="s">
        <v>43</v>
      </c>
      <c r="G24" s="128">
        <v>45998</v>
      </c>
      <c r="H24" s="126" t="s">
        <v>4</v>
      </c>
      <c r="I24" s="126" t="s">
        <v>43</v>
      </c>
      <c r="J24" s="147">
        <v>46001</v>
      </c>
      <c r="K24" s="126" t="s">
        <v>4</v>
      </c>
      <c r="L24" s="126" t="s">
        <v>43</v>
      </c>
      <c r="M24" s="128">
        <v>46003</v>
      </c>
      <c r="N24" s="126" t="s">
        <v>4</v>
      </c>
      <c r="O24" s="126"/>
      <c r="P24" s="138"/>
      <c r="Q24" s="170"/>
      <c r="R24" s="138"/>
      <c r="S24" s="138"/>
      <c r="T24" s="138"/>
      <c r="U24" s="138"/>
      <c r="V24" s="138"/>
      <c r="W24" s="138"/>
      <c r="X24" s="138"/>
      <c r="Y24" s="138"/>
      <c r="Z24" s="138"/>
    </row>
    <row r="25" spans="1:26" ht="12.75" customHeight="1" outlineLevel="1">
      <c r="A25" s="126" t="s">
        <v>608</v>
      </c>
      <c r="B25" s="126" t="s">
        <v>609</v>
      </c>
      <c r="C25" s="126" t="s">
        <v>610</v>
      </c>
      <c r="D25" s="126" t="s">
        <v>611</v>
      </c>
      <c r="E25" s="126" t="s">
        <v>612</v>
      </c>
      <c r="F25" s="126" t="s">
        <v>43</v>
      </c>
      <c r="G25" s="128">
        <v>45998</v>
      </c>
      <c r="H25" s="126" t="s">
        <v>4</v>
      </c>
      <c r="I25" s="126" t="s">
        <v>43</v>
      </c>
      <c r="J25" s="147">
        <v>46001</v>
      </c>
      <c r="K25" s="126" t="s">
        <v>4</v>
      </c>
      <c r="L25" s="126" t="s">
        <v>43</v>
      </c>
      <c r="M25" s="128">
        <v>46003</v>
      </c>
      <c r="N25" s="126" t="s">
        <v>4</v>
      </c>
      <c r="O25" s="126"/>
      <c r="P25" s="138"/>
      <c r="Q25" s="170"/>
      <c r="R25" s="138"/>
      <c r="S25" s="138"/>
      <c r="T25" s="138"/>
      <c r="U25" s="138"/>
      <c r="V25" s="138"/>
      <c r="W25" s="138"/>
      <c r="X25" s="138"/>
      <c r="Y25" s="138"/>
      <c r="Z25" s="138"/>
    </row>
    <row r="26" spans="1:26" ht="15.75" customHeight="1">
      <c r="A26" s="122" t="s">
        <v>613</v>
      </c>
      <c r="B26" s="134"/>
      <c r="C26" s="135"/>
      <c r="D26" s="135"/>
      <c r="E26" s="135"/>
      <c r="F26" s="135"/>
      <c r="G26" s="135"/>
      <c r="H26" s="135"/>
      <c r="I26" s="135"/>
      <c r="J26" s="135"/>
      <c r="K26" s="135"/>
      <c r="L26" s="135"/>
      <c r="M26" s="135"/>
      <c r="N26" s="135"/>
      <c r="O26" s="136"/>
      <c r="P26" s="144"/>
      <c r="Q26" s="145"/>
      <c r="R26" s="144"/>
      <c r="S26" s="144"/>
      <c r="T26" s="144"/>
      <c r="U26" s="144"/>
      <c r="V26" s="144"/>
      <c r="W26" s="144"/>
      <c r="X26" s="144"/>
      <c r="Y26" s="144"/>
      <c r="Z26" s="144"/>
    </row>
    <row r="27" spans="1:26" ht="12.75" customHeight="1" outlineLevel="1">
      <c r="A27" s="126" t="s">
        <v>614</v>
      </c>
      <c r="B27" s="126" t="s">
        <v>615</v>
      </c>
      <c r="C27" s="126" t="s">
        <v>616</v>
      </c>
      <c r="D27" s="126" t="s">
        <v>617</v>
      </c>
      <c r="E27" s="126" t="s">
        <v>618</v>
      </c>
      <c r="F27" s="126" t="s">
        <v>43</v>
      </c>
      <c r="G27" s="128">
        <v>45998</v>
      </c>
      <c r="H27" s="126" t="s">
        <v>4</v>
      </c>
      <c r="I27" s="126" t="s">
        <v>43</v>
      </c>
      <c r="J27" s="147">
        <v>46001</v>
      </c>
      <c r="K27" s="126" t="s">
        <v>4</v>
      </c>
      <c r="L27" s="126" t="s">
        <v>43</v>
      </c>
      <c r="M27" s="128">
        <v>46003</v>
      </c>
      <c r="N27" s="126" t="s">
        <v>4</v>
      </c>
      <c r="O27" s="126"/>
      <c r="P27" s="138"/>
      <c r="Q27" s="170"/>
      <c r="R27" s="138"/>
      <c r="S27" s="138"/>
      <c r="T27" s="138"/>
      <c r="U27" s="138"/>
      <c r="V27" s="138"/>
      <c r="W27" s="138"/>
      <c r="X27" s="138"/>
      <c r="Y27" s="138"/>
      <c r="Z27" s="138"/>
    </row>
    <row r="28" spans="1:26" ht="12.75" customHeight="1" outlineLevel="1">
      <c r="A28" s="126" t="s">
        <v>619</v>
      </c>
      <c r="B28" s="126" t="s">
        <v>620</v>
      </c>
      <c r="C28" s="126" t="s">
        <v>621</v>
      </c>
      <c r="D28" s="126" t="s">
        <v>622</v>
      </c>
      <c r="E28" s="126" t="s">
        <v>623</v>
      </c>
      <c r="F28" s="126" t="s">
        <v>43</v>
      </c>
      <c r="G28" s="128">
        <v>45998</v>
      </c>
      <c r="H28" s="126" t="s">
        <v>4</v>
      </c>
      <c r="I28" s="126" t="s">
        <v>43</v>
      </c>
      <c r="J28" s="147">
        <v>46001</v>
      </c>
      <c r="K28" s="126" t="s">
        <v>4</v>
      </c>
      <c r="L28" s="126" t="s">
        <v>43</v>
      </c>
      <c r="M28" s="128">
        <v>46003</v>
      </c>
      <c r="N28" s="126" t="s">
        <v>4</v>
      </c>
      <c r="O28" s="126"/>
      <c r="P28" s="138"/>
      <c r="Q28" s="170"/>
      <c r="R28" s="138"/>
      <c r="S28" s="138"/>
      <c r="T28" s="138"/>
      <c r="U28" s="138"/>
      <c r="V28" s="138"/>
      <c r="W28" s="138"/>
      <c r="X28" s="138"/>
      <c r="Y28" s="138"/>
      <c r="Z28" s="138"/>
    </row>
    <row r="29" spans="1:26" ht="12.75" customHeight="1" outlineLevel="1">
      <c r="A29" s="126"/>
      <c r="B29" s="126"/>
      <c r="C29" s="126"/>
      <c r="D29" s="126"/>
      <c r="E29" s="126"/>
      <c r="F29" s="126"/>
      <c r="G29" s="126"/>
      <c r="H29" s="126"/>
      <c r="I29" s="126"/>
      <c r="J29" s="126"/>
      <c r="K29" s="126"/>
      <c r="L29" s="126"/>
      <c r="M29" s="126"/>
      <c r="N29" s="126"/>
      <c r="O29" s="126"/>
      <c r="P29" s="138"/>
      <c r="Q29" s="170"/>
      <c r="R29" s="138"/>
      <c r="S29" s="138"/>
      <c r="T29" s="138"/>
      <c r="U29" s="138"/>
      <c r="V29" s="138"/>
      <c r="W29" s="138"/>
      <c r="X29" s="138"/>
      <c r="Y29" s="138"/>
      <c r="Z29" s="138"/>
    </row>
    <row r="30" spans="1:26" ht="12.75" customHeight="1" outlineLevel="1">
      <c r="A30" s="126"/>
      <c r="B30" s="126"/>
      <c r="C30" s="126"/>
      <c r="D30" s="126"/>
      <c r="E30" s="126"/>
      <c r="F30" s="126"/>
      <c r="G30" s="126"/>
      <c r="H30" s="126"/>
      <c r="I30" s="126"/>
      <c r="J30" s="126"/>
      <c r="K30" s="126"/>
      <c r="L30" s="126"/>
      <c r="M30" s="126"/>
      <c r="N30" s="126"/>
      <c r="O30" s="126"/>
      <c r="P30" s="138"/>
      <c r="Q30" s="170"/>
      <c r="R30" s="138"/>
      <c r="S30" s="138"/>
      <c r="T30" s="138"/>
      <c r="U30" s="138"/>
      <c r="V30" s="138"/>
      <c r="W30" s="138"/>
      <c r="X30" s="138"/>
      <c r="Y30" s="138"/>
      <c r="Z30" s="138"/>
    </row>
    <row r="31" spans="1:26" ht="12.75" customHeight="1" outlineLevel="1">
      <c r="A31" s="126"/>
      <c r="B31" s="126"/>
      <c r="C31" s="126"/>
      <c r="D31" s="126"/>
      <c r="E31" s="126"/>
      <c r="F31" s="126"/>
      <c r="G31" s="126"/>
      <c r="H31" s="126"/>
      <c r="I31" s="126"/>
      <c r="J31" s="126"/>
      <c r="K31" s="126"/>
      <c r="L31" s="126"/>
      <c r="M31" s="126"/>
      <c r="N31" s="126"/>
      <c r="O31" s="126"/>
      <c r="P31" s="138"/>
      <c r="Q31" s="170"/>
      <c r="R31" s="138"/>
      <c r="S31" s="138"/>
      <c r="T31" s="138"/>
      <c r="U31" s="138"/>
      <c r="V31" s="138"/>
      <c r="W31" s="138"/>
      <c r="X31" s="138"/>
      <c r="Y31" s="138"/>
      <c r="Z31" s="138"/>
    </row>
    <row r="32" spans="1:26" ht="12.75" customHeight="1" outlineLevel="1">
      <c r="A32" s="126"/>
      <c r="B32" s="126"/>
      <c r="C32" s="126"/>
      <c r="D32" s="126"/>
      <c r="E32" s="126"/>
      <c r="F32" s="126"/>
      <c r="G32" s="126"/>
      <c r="H32" s="126"/>
      <c r="I32" s="126"/>
      <c r="J32" s="126"/>
      <c r="K32" s="126"/>
      <c r="L32" s="126"/>
      <c r="M32" s="126"/>
      <c r="N32" s="126"/>
      <c r="O32" s="126"/>
      <c r="P32" s="138"/>
      <c r="Q32" s="170"/>
      <c r="R32" s="138"/>
      <c r="S32" s="138"/>
      <c r="T32" s="138"/>
      <c r="U32" s="138"/>
      <c r="V32" s="138"/>
      <c r="W32" s="138"/>
      <c r="X32" s="138"/>
      <c r="Y32" s="138"/>
      <c r="Z32" s="138"/>
    </row>
    <row r="33" spans="1:26" ht="12.75" customHeight="1" outlineLevel="1">
      <c r="A33" s="126"/>
      <c r="B33" s="126"/>
      <c r="C33" s="126"/>
      <c r="D33" s="126"/>
      <c r="E33" s="126"/>
      <c r="F33" s="126"/>
      <c r="G33" s="126"/>
      <c r="H33" s="126"/>
      <c r="I33" s="126"/>
      <c r="J33" s="126"/>
      <c r="K33" s="126"/>
      <c r="L33" s="126"/>
      <c r="M33" s="126"/>
      <c r="N33" s="126"/>
      <c r="O33" s="126"/>
      <c r="P33" s="138"/>
      <c r="Q33" s="170"/>
      <c r="R33" s="138"/>
      <c r="S33" s="138"/>
      <c r="T33" s="138"/>
      <c r="U33" s="138"/>
      <c r="V33" s="138"/>
      <c r="W33" s="138"/>
      <c r="X33" s="138"/>
      <c r="Y33" s="138"/>
      <c r="Z33" s="138"/>
    </row>
    <row r="34" spans="1:26" ht="12.75" customHeight="1" outlineLevel="1">
      <c r="A34" s="126"/>
      <c r="B34" s="126"/>
      <c r="C34" s="126"/>
      <c r="D34" s="126"/>
      <c r="E34" s="126"/>
      <c r="F34" s="126"/>
      <c r="G34" s="126"/>
      <c r="H34" s="126"/>
      <c r="I34" s="126"/>
      <c r="J34" s="126"/>
      <c r="K34" s="126"/>
      <c r="L34" s="126"/>
      <c r="M34" s="126"/>
      <c r="N34" s="126"/>
      <c r="O34" s="126"/>
      <c r="P34" s="138"/>
      <c r="Q34" s="170"/>
      <c r="R34" s="138"/>
      <c r="S34" s="138"/>
      <c r="T34" s="138"/>
      <c r="U34" s="138"/>
      <c r="V34" s="138"/>
      <c r="W34" s="138"/>
      <c r="X34" s="138"/>
      <c r="Y34" s="138"/>
      <c r="Z34" s="138"/>
    </row>
    <row r="35" spans="1:26" ht="12.75" customHeight="1" outlineLevel="1">
      <c r="A35" s="126"/>
      <c r="B35" s="126"/>
      <c r="C35" s="126"/>
      <c r="D35" s="126"/>
      <c r="E35" s="126"/>
      <c r="F35" s="126"/>
      <c r="G35" s="126"/>
      <c r="H35" s="126"/>
      <c r="I35" s="126"/>
      <c r="J35" s="126"/>
      <c r="K35" s="126"/>
      <c r="L35" s="126"/>
      <c r="M35" s="126"/>
      <c r="N35" s="126"/>
      <c r="O35" s="126"/>
      <c r="P35" s="138"/>
      <c r="Q35" s="170"/>
      <c r="R35" s="138"/>
      <c r="S35" s="138"/>
      <c r="T35" s="138"/>
      <c r="U35" s="138"/>
      <c r="V35" s="138"/>
      <c r="W35" s="138"/>
      <c r="X35" s="138"/>
      <c r="Y35" s="138"/>
      <c r="Z35" s="138"/>
    </row>
    <row r="36" spans="1:26" ht="12.75" customHeight="1" outlineLevel="1">
      <c r="A36" s="126"/>
      <c r="B36" s="126"/>
      <c r="C36" s="126"/>
      <c r="D36" s="126"/>
      <c r="E36" s="126"/>
      <c r="F36" s="126"/>
      <c r="G36" s="126"/>
      <c r="H36" s="126"/>
      <c r="I36" s="126"/>
      <c r="J36" s="126"/>
      <c r="K36" s="126"/>
      <c r="L36" s="126"/>
      <c r="M36" s="126"/>
      <c r="N36" s="126"/>
      <c r="O36" s="126"/>
      <c r="P36" s="138"/>
      <c r="Q36" s="170"/>
      <c r="R36" s="138"/>
      <c r="S36" s="138"/>
      <c r="T36" s="138"/>
      <c r="U36" s="138"/>
      <c r="V36" s="138"/>
      <c r="W36" s="138"/>
      <c r="X36" s="138"/>
      <c r="Y36" s="138"/>
      <c r="Z36" s="138"/>
    </row>
    <row r="37" spans="1:26" ht="12.75" customHeight="1">
      <c r="A37" s="40"/>
      <c r="B37" s="40"/>
      <c r="C37" s="40"/>
      <c r="D37" s="40"/>
      <c r="E37" s="40"/>
      <c r="F37" s="40"/>
      <c r="G37" s="40"/>
      <c r="H37" s="40"/>
      <c r="I37" s="40"/>
      <c r="J37" s="40"/>
      <c r="K37" s="40"/>
      <c r="L37" s="40"/>
      <c r="M37" s="40"/>
      <c r="N37" s="40"/>
      <c r="O37" s="40"/>
      <c r="P37" s="40"/>
      <c r="Q37" s="160"/>
      <c r="R37" s="40"/>
      <c r="S37" s="40"/>
      <c r="T37" s="40"/>
      <c r="U37" s="40"/>
      <c r="V37" s="40"/>
      <c r="W37" s="40"/>
      <c r="X37" s="40"/>
      <c r="Y37" s="40"/>
      <c r="Z37" s="40"/>
    </row>
    <row r="38" spans="1:26" ht="12.75" customHeight="1">
      <c r="A38" s="7"/>
      <c r="B38" s="7"/>
      <c r="C38" s="7"/>
      <c r="D38" s="7"/>
      <c r="E38" s="7"/>
      <c r="F38" s="7"/>
      <c r="G38" s="7"/>
      <c r="H38" s="7"/>
      <c r="I38" s="7"/>
      <c r="J38" s="7"/>
      <c r="K38" s="7"/>
      <c r="L38" s="7"/>
      <c r="M38" s="7"/>
      <c r="N38" s="7"/>
      <c r="O38" s="7"/>
      <c r="P38" s="7"/>
      <c r="Q38" s="101"/>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101"/>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01"/>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01"/>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01"/>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01"/>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01"/>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row r="1010" spans="1:26" ht="12.75" customHeight="1">
      <c r="A1010" s="7"/>
      <c r="B1010" s="7"/>
      <c r="C1010" s="7"/>
      <c r="D1010" s="7"/>
      <c r="E1010" s="7"/>
      <c r="F1010" s="7"/>
      <c r="G1010" s="7"/>
      <c r="H1010" s="7"/>
      <c r="I1010" s="7"/>
      <c r="J1010" s="7"/>
      <c r="K1010" s="7"/>
      <c r="L1010" s="7"/>
      <c r="M1010" s="7"/>
      <c r="N1010" s="7"/>
      <c r="O1010" s="7"/>
      <c r="P1010" s="7"/>
      <c r="Q1010" s="101"/>
      <c r="R1010" s="7"/>
      <c r="S1010" s="7"/>
      <c r="T1010" s="7"/>
      <c r="U1010" s="7"/>
      <c r="V1010" s="7"/>
      <c r="W1010" s="7"/>
      <c r="X1010" s="7"/>
      <c r="Y1010" s="7"/>
      <c r="Z1010" s="7"/>
    </row>
    <row r="1011" spans="1:26" ht="12.75" customHeight="1">
      <c r="A1011" s="7"/>
      <c r="B1011" s="7"/>
      <c r="C1011" s="7"/>
      <c r="D1011" s="7"/>
      <c r="E1011" s="7"/>
      <c r="F1011" s="7"/>
      <c r="G1011" s="7"/>
      <c r="H1011" s="7"/>
      <c r="I1011" s="7"/>
      <c r="J1011" s="7"/>
      <c r="K1011" s="7"/>
      <c r="L1011" s="7"/>
      <c r="M1011" s="7"/>
      <c r="N1011" s="7"/>
      <c r="O1011" s="7"/>
      <c r="P1011" s="7"/>
      <c r="Q1011" s="101"/>
      <c r="R1011" s="7"/>
      <c r="S1011" s="7"/>
      <c r="T1011" s="7"/>
      <c r="U1011" s="7"/>
      <c r="V1011" s="7"/>
      <c r="W1011" s="7"/>
      <c r="X1011" s="7"/>
      <c r="Y1011" s="7"/>
      <c r="Z1011" s="7"/>
    </row>
    <row r="1012" spans="1:26" ht="12.75" customHeight="1">
      <c r="A1012" s="7"/>
      <c r="B1012" s="7"/>
      <c r="C1012" s="7"/>
      <c r="D1012" s="7"/>
      <c r="E1012" s="7"/>
      <c r="F1012" s="7"/>
      <c r="G1012" s="7"/>
      <c r="H1012" s="7"/>
      <c r="I1012" s="7"/>
      <c r="J1012" s="7"/>
      <c r="K1012" s="7"/>
      <c r="L1012" s="7"/>
      <c r="M1012" s="7"/>
      <c r="N1012" s="7"/>
      <c r="O1012" s="7"/>
      <c r="P1012" s="7"/>
      <c r="Q1012" s="101"/>
      <c r="R1012" s="7"/>
      <c r="S1012" s="7"/>
      <c r="T1012" s="7"/>
      <c r="U1012" s="7"/>
      <c r="V1012" s="7"/>
      <c r="W1012" s="7"/>
      <c r="X1012" s="7"/>
      <c r="Y1012" s="7"/>
      <c r="Z1012" s="7"/>
    </row>
    <row r="1013" spans="1:26" ht="12.75" customHeight="1">
      <c r="A1013" s="7"/>
      <c r="B1013" s="7"/>
      <c r="C1013" s="7"/>
      <c r="D1013" s="7"/>
      <c r="E1013" s="7"/>
      <c r="F1013" s="7"/>
      <c r="G1013" s="7"/>
      <c r="H1013" s="7"/>
      <c r="I1013" s="7"/>
      <c r="J1013" s="7"/>
      <c r="K1013" s="7"/>
      <c r="L1013" s="7"/>
      <c r="M1013" s="7"/>
      <c r="N1013" s="7"/>
      <c r="O1013" s="7"/>
      <c r="P1013" s="7"/>
      <c r="Q1013" s="101"/>
      <c r="R1013" s="7"/>
      <c r="S1013" s="7"/>
      <c r="T1013" s="7"/>
      <c r="U1013" s="7"/>
      <c r="V1013" s="7"/>
      <c r="W1013" s="7"/>
      <c r="X1013" s="7"/>
      <c r="Y1013" s="7"/>
      <c r="Z1013" s="7"/>
    </row>
    <row r="1014" spans="1:26" ht="12.75" customHeight="1">
      <c r="A1014" s="7"/>
      <c r="B1014" s="7"/>
      <c r="C1014" s="7"/>
      <c r="D1014" s="7"/>
      <c r="E1014" s="7"/>
      <c r="F1014" s="7"/>
      <c r="G1014" s="7"/>
      <c r="H1014" s="7"/>
      <c r="I1014" s="7"/>
      <c r="J1014" s="7"/>
      <c r="K1014" s="7"/>
      <c r="L1014" s="7"/>
      <c r="M1014" s="7"/>
      <c r="N1014" s="7"/>
      <c r="O1014" s="7"/>
      <c r="P1014" s="7"/>
      <c r="Q1014" s="101"/>
      <c r="R1014" s="7"/>
      <c r="S1014" s="7"/>
      <c r="T1014" s="7"/>
      <c r="U1014" s="7"/>
      <c r="V1014" s="7"/>
      <c r="W1014" s="7"/>
      <c r="X1014" s="7"/>
      <c r="Y1014" s="7"/>
      <c r="Z1014" s="7"/>
    </row>
    <row r="1015" spans="1:26" ht="12.75" customHeight="1">
      <c r="A1015" s="7"/>
      <c r="B1015" s="7"/>
      <c r="C1015" s="7"/>
      <c r="D1015" s="7"/>
      <c r="E1015" s="7"/>
      <c r="F1015" s="7"/>
      <c r="G1015" s="7"/>
      <c r="H1015" s="7"/>
      <c r="I1015" s="7"/>
      <c r="J1015" s="7"/>
      <c r="K1015" s="7"/>
      <c r="L1015" s="7"/>
      <c r="M1015" s="7"/>
      <c r="N1015" s="7"/>
      <c r="O1015" s="7"/>
      <c r="P1015" s="7"/>
      <c r="Q1015" s="101"/>
      <c r="R1015" s="7"/>
      <c r="S1015" s="7"/>
      <c r="T1015" s="7"/>
      <c r="U1015" s="7"/>
      <c r="V1015" s="7"/>
      <c r="W1015" s="7"/>
      <c r="X1015" s="7"/>
      <c r="Y1015" s="7"/>
      <c r="Z1015" s="7"/>
    </row>
    <row r="1016" spans="1:26" ht="12.75" customHeight="1">
      <c r="A1016" s="7"/>
      <c r="B1016" s="7"/>
      <c r="C1016" s="7"/>
      <c r="D1016" s="7"/>
      <c r="E1016" s="7"/>
      <c r="F1016" s="7"/>
      <c r="G1016" s="7"/>
      <c r="H1016" s="7"/>
      <c r="I1016" s="7"/>
      <c r="J1016" s="7"/>
      <c r="K1016" s="7"/>
      <c r="L1016" s="7"/>
      <c r="M1016" s="7"/>
      <c r="N1016" s="7"/>
      <c r="O1016" s="7"/>
      <c r="P1016" s="7"/>
      <c r="Q1016" s="101"/>
      <c r="R1016" s="7"/>
      <c r="S1016" s="7"/>
      <c r="T1016" s="7"/>
      <c r="U1016" s="7"/>
      <c r="V1016" s="7"/>
      <c r="W1016" s="7"/>
      <c r="X1016" s="7"/>
      <c r="Y1016" s="7"/>
      <c r="Z1016" s="7"/>
    </row>
    <row r="1017" spans="1:26" ht="12.75" customHeight="1">
      <c r="A1017" s="7"/>
      <c r="B1017" s="7"/>
      <c r="C1017" s="7"/>
      <c r="D1017" s="7"/>
      <c r="E1017" s="7"/>
      <c r="F1017" s="7"/>
      <c r="G1017" s="7"/>
      <c r="H1017" s="7"/>
      <c r="I1017" s="7"/>
      <c r="J1017" s="7"/>
      <c r="K1017" s="7"/>
      <c r="L1017" s="7"/>
      <c r="M1017" s="7"/>
      <c r="N1017" s="7"/>
      <c r="O1017" s="7"/>
      <c r="P1017" s="7"/>
      <c r="Q1017" s="101"/>
      <c r="R1017" s="7"/>
      <c r="S1017" s="7"/>
      <c r="T1017" s="7"/>
      <c r="U1017" s="7"/>
      <c r="V1017" s="7"/>
      <c r="W1017" s="7"/>
      <c r="X1017" s="7"/>
      <c r="Y1017" s="7"/>
      <c r="Z1017" s="7"/>
    </row>
  </sheetData>
  <mergeCells count="3">
    <mergeCell ref="B2:E2"/>
    <mergeCell ref="B3:E3"/>
    <mergeCell ref="B4:E4"/>
  </mergeCells>
  <dataValidations count="1">
    <dataValidation type="list" allowBlank="1" showErrorMessage="1" sqref="G2:G3 J2:J3 M2:M3 G9 J9 M9 F11:F36 I11:I36 L11:L36 G37:G164 J37:J164 M37:M164" xr:uid="{00000000-0002-0000-07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12"/>
  <sheetViews>
    <sheetView topLeftCell="C1" workbookViewId="0">
      <pane ySplit="10" topLeftCell="A38" activePane="bottomLeft" state="frozen"/>
      <selection pane="bottomLeft" activeCell="B12" sqref="B12"/>
    </sheetView>
  </sheetViews>
  <sheetFormatPr defaultColWidth="12.6640625" defaultRowHeight="15" customHeight="1" outlineLevelRow="1" outlineLevelCol="1"/>
  <cols>
    <col min="1" max="1" width="17" customWidth="1"/>
    <col min="2" max="2" width="34.44140625" customWidth="1"/>
    <col min="3" max="3" width="33.33203125" customWidth="1"/>
    <col min="4" max="4" width="34.6640625" customWidth="1"/>
    <col min="5" max="5" width="28.33203125" customWidth="1"/>
    <col min="6" max="6" width="9.33203125" customWidth="1"/>
    <col min="7" max="7" width="10.6640625" customWidth="1" outlineLevel="1"/>
    <col min="8" max="8" width="7" customWidth="1" outlineLevel="1"/>
    <col min="9" max="9" width="9.33203125" customWidth="1"/>
    <col min="10" max="10" width="10.6640625" customWidth="1" outlineLevel="1"/>
    <col min="11" max="11" width="7" customWidth="1" outlineLevel="1"/>
    <col min="12" max="12" width="9.33203125" customWidth="1"/>
    <col min="13" max="13" width="10.66406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3" t="s">
        <v>624</v>
      </c>
      <c r="C2" s="194"/>
      <c r="D2" s="194"/>
      <c r="E2" s="195"/>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6" t="s">
        <v>625</v>
      </c>
      <c r="C3" s="178"/>
      <c r="D3" s="178"/>
      <c r="E3" s="197"/>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6">
        <v>32</v>
      </c>
      <c r="C4" s="178"/>
      <c r="D4" s="178"/>
      <c r="E4" s="197"/>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COUNTIF($F10:$F1008,B5)</f>
        <v>32</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COUNTIF($F10:$F1008,B5)</f>
        <v>32</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COUNTIF($F10:$F1008,B5)</f>
        <v>32</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626</v>
      </c>
      <c r="B11" s="134"/>
      <c r="C11" s="135"/>
      <c r="D11" s="135"/>
      <c r="E11" s="135"/>
      <c r="F11" s="135"/>
      <c r="G11" s="135"/>
      <c r="H11" s="135"/>
      <c r="I11" s="135"/>
      <c r="J11" s="135"/>
      <c r="K11" s="135"/>
      <c r="L11" s="135"/>
      <c r="M11" s="135"/>
      <c r="N11" s="135"/>
      <c r="O11" s="136"/>
      <c r="P11" s="106"/>
      <c r="Q11" s="125"/>
      <c r="R11" s="106"/>
      <c r="S11" s="106"/>
      <c r="T11" s="106"/>
      <c r="U11" s="106"/>
      <c r="V11" s="106"/>
      <c r="W11" s="106"/>
      <c r="X11" s="106"/>
      <c r="Y11" s="106"/>
      <c r="Z11" s="106"/>
    </row>
    <row r="12" spans="1:26" ht="12.75" customHeight="1" outlineLevel="1">
      <c r="A12" s="126" t="s">
        <v>627</v>
      </c>
      <c r="B12" s="126" t="s">
        <v>628</v>
      </c>
      <c r="C12" s="126" t="s">
        <v>629</v>
      </c>
      <c r="D12" s="126" t="s">
        <v>630</v>
      </c>
      <c r="E12" s="126" t="s">
        <v>631</v>
      </c>
      <c r="F12" s="126" t="s">
        <v>43</v>
      </c>
      <c r="G12" s="147">
        <v>45998</v>
      </c>
      <c r="H12" s="126" t="s">
        <v>4</v>
      </c>
      <c r="I12" s="126" t="s">
        <v>43</v>
      </c>
      <c r="J12" s="147">
        <v>46001</v>
      </c>
      <c r="K12" s="126" t="s">
        <v>4</v>
      </c>
      <c r="L12" s="126" t="s">
        <v>43</v>
      </c>
      <c r="M12" s="147">
        <v>46003</v>
      </c>
      <c r="N12" s="126" t="s">
        <v>4</v>
      </c>
      <c r="O12" s="126"/>
      <c r="P12" s="7"/>
      <c r="Q12" s="130"/>
      <c r="R12" s="7"/>
      <c r="S12" s="7"/>
      <c r="T12" s="7"/>
      <c r="U12" s="7"/>
      <c r="V12" s="7"/>
      <c r="W12" s="7"/>
      <c r="X12" s="7"/>
      <c r="Y12" s="7"/>
      <c r="Z12" s="7"/>
    </row>
    <row r="13" spans="1:26" ht="12.75" customHeight="1" outlineLevel="1">
      <c r="A13" s="126" t="s">
        <v>632</v>
      </c>
      <c r="B13" s="126" t="s">
        <v>633</v>
      </c>
      <c r="C13" s="126" t="s">
        <v>634</v>
      </c>
      <c r="D13" s="126" t="s">
        <v>635</v>
      </c>
      <c r="E13" s="126" t="s">
        <v>636</v>
      </c>
      <c r="F13" s="126" t="s">
        <v>43</v>
      </c>
      <c r="G13" s="147">
        <v>45998</v>
      </c>
      <c r="H13" s="126" t="s">
        <v>4</v>
      </c>
      <c r="I13" s="126" t="s">
        <v>43</v>
      </c>
      <c r="J13" s="147">
        <v>46001</v>
      </c>
      <c r="K13" s="126" t="s">
        <v>4</v>
      </c>
      <c r="L13" s="126" t="s">
        <v>43</v>
      </c>
      <c r="M13" s="147">
        <v>46003</v>
      </c>
      <c r="N13" s="126" t="s">
        <v>4</v>
      </c>
      <c r="O13" s="138"/>
      <c r="P13" s="7"/>
      <c r="Q13" s="101"/>
      <c r="R13" s="7"/>
      <c r="S13" s="7"/>
      <c r="T13" s="7"/>
      <c r="U13" s="7"/>
      <c r="V13" s="7"/>
      <c r="W13" s="7"/>
      <c r="X13" s="7"/>
      <c r="Y13" s="7"/>
      <c r="Z13" s="7"/>
    </row>
    <row r="14" spans="1:26" ht="12.75" customHeight="1" outlineLevel="1">
      <c r="A14" s="126" t="s">
        <v>637</v>
      </c>
      <c r="B14" s="126" t="s">
        <v>638</v>
      </c>
      <c r="C14" s="126" t="s">
        <v>639</v>
      </c>
      <c r="D14" s="126" t="s">
        <v>640</v>
      </c>
      <c r="E14" s="126"/>
      <c r="F14" s="126" t="s">
        <v>43</v>
      </c>
      <c r="G14" s="147">
        <v>45998</v>
      </c>
      <c r="H14" s="126" t="s">
        <v>4</v>
      </c>
      <c r="I14" s="126" t="s">
        <v>43</v>
      </c>
      <c r="J14" s="147">
        <v>46001</v>
      </c>
      <c r="K14" s="126" t="s">
        <v>4</v>
      </c>
      <c r="L14" s="126" t="s">
        <v>43</v>
      </c>
      <c r="M14" s="147">
        <v>46003</v>
      </c>
      <c r="N14" s="126" t="s">
        <v>4</v>
      </c>
      <c r="O14" s="138"/>
      <c r="P14" s="85"/>
      <c r="Q14" s="101"/>
      <c r="R14" s="7"/>
      <c r="S14" s="7"/>
      <c r="T14" s="7"/>
      <c r="U14" s="7"/>
      <c r="V14" s="7"/>
      <c r="W14" s="7"/>
      <c r="X14" s="7"/>
      <c r="Y14" s="7"/>
      <c r="Z14" s="7"/>
    </row>
    <row r="15" spans="1:26" ht="12.75" customHeight="1" outlineLevel="1">
      <c r="A15" s="126" t="s">
        <v>641</v>
      </c>
      <c r="B15" s="126" t="s">
        <v>642</v>
      </c>
      <c r="C15" s="126" t="s">
        <v>643</v>
      </c>
      <c r="D15" s="126" t="s">
        <v>644</v>
      </c>
      <c r="E15" s="126" t="s">
        <v>645</v>
      </c>
      <c r="F15" s="126" t="s">
        <v>43</v>
      </c>
      <c r="G15" s="147">
        <v>45998</v>
      </c>
      <c r="H15" s="126" t="s">
        <v>4</v>
      </c>
      <c r="I15" s="126" t="s">
        <v>43</v>
      </c>
      <c r="J15" s="147">
        <v>46001</v>
      </c>
      <c r="K15" s="126" t="s">
        <v>4</v>
      </c>
      <c r="L15" s="126" t="s">
        <v>43</v>
      </c>
      <c r="M15" s="147">
        <v>46003</v>
      </c>
      <c r="N15" s="126" t="s">
        <v>4</v>
      </c>
      <c r="O15" s="138"/>
      <c r="P15" s="7"/>
      <c r="Q15" s="101"/>
      <c r="R15" s="7"/>
      <c r="S15" s="7"/>
      <c r="T15" s="7"/>
      <c r="U15" s="7"/>
      <c r="V15" s="7"/>
      <c r="W15" s="7"/>
      <c r="X15" s="7"/>
      <c r="Y15" s="7"/>
      <c r="Z15" s="7"/>
    </row>
    <row r="16" spans="1:26" ht="12.75" customHeight="1" outlineLevel="1">
      <c r="A16" s="126" t="s">
        <v>646</v>
      </c>
      <c r="B16" s="126" t="s">
        <v>647</v>
      </c>
      <c r="C16" s="126" t="s">
        <v>648</v>
      </c>
      <c r="D16" s="126" t="s">
        <v>649</v>
      </c>
      <c r="E16" s="126" t="s">
        <v>650</v>
      </c>
      <c r="F16" s="126" t="s">
        <v>43</v>
      </c>
      <c r="G16" s="147">
        <v>45998</v>
      </c>
      <c r="H16" s="126" t="s">
        <v>4</v>
      </c>
      <c r="I16" s="126" t="s">
        <v>43</v>
      </c>
      <c r="J16" s="147">
        <v>46001</v>
      </c>
      <c r="K16" s="126" t="s">
        <v>4</v>
      </c>
      <c r="L16" s="126" t="s">
        <v>43</v>
      </c>
      <c r="M16" s="147">
        <v>46003</v>
      </c>
      <c r="N16" s="126" t="s">
        <v>4</v>
      </c>
      <c r="O16" s="138"/>
      <c r="P16" s="7"/>
      <c r="Q16" s="101"/>
      <c r="R16" s="7"/>
      <c r="S16" s="7"/>
      <c r="T16" s="7"/>
      <c r="U16" s="7"/>
      <c r="V16" s="7"/>
      <c r="W16" s="7"/>
      <c r="X16" s="7"/>
      <c r="Y16" s="7"/>
      <c r="Z16" s="7"/>
    </row>
    <row r="17" spans="1:26" ht="12.75" customHeight="1" outlineLevel="1">
      <c r="A17" s="126" t="s">
        <v>651</v>
      </c>
      <c r="B17" s="126" t="s">
        <v>652</v>
      </c>
      <c r="C17" s="126" t="s">
        <v>653</v>
      </c>
      <c r="D17" s="126" t="s">
        <v>654</v>
      </c>
      <c r="E17" s="126"/>
      <c r="F17" s="126" t="s">
        <v>43</v>
      </c>
      <c r="G17" s="147">
        <v>45998</v>
      </c>
      <c r="H17" s="126" t="s">
        <v>4</v>
      </c>
      <c r="I17" s="126" t="s">
        <v>43</v>
      </c>
      <c r="J17" s="147">
        <v>46001</v>
      </c>
      <c r="K17" s="126" t="s">
        <v>4</v>
      </c>
      <c r="L17" s="126" t="s">
        <v>43</v>
      </c>
      <c r="M17" s="147">
        <v>46003</v>
      </c>
      <c r="N17" s="126" t="s">
        <v>4</v>
      </c>
      <c r="O17" s="138"/>
      <c r="P17" s="7"/>
      <c r="Q17" s="101"/>
      <c r="R17" s="7"/>
      <c r="S17" s="7"/>
      <c r="T17" s="7"/>
      <c r="U17" s="7"/>
      <c r="V17" s="7"/>
      <c r="W17" s="7"/>
      <c r="X17" s="7"/>
      <c r="Y17" s="7"/>
      <c r="Z17" s="7"/>
    </row>
    <row r="18" spans="1:26" ht="12.75" customHeight="1" outlineLevel="1">
      <c r="A18" s="126" t="s">
        <v>655</v>
      </c>
      <c r="B18" s="126" t="s">
        <v>656</v>
      </c>
      <c r="C18" s="126" t="s">
        <v>657</v>
      </c>
      <c r="D18" s="126" t="s">
        <v>658</v>
      </c>
      <c r="E18" s="126" t="s">
        <v>659</v>
      </c>
      <c r="F18" s="126" t="s">
        <v>43</v>
      </c>
      <c r="G18" s="147">
        <v>45998</v>
      </c>
      <c r="H18" s="126" t="s">
        <v>4</v>
      </c>
      <c r="I18" s="126" t="s">
        <v>43</v>
      </c>
      <c r="J18" s="147">
        <v>46001</v>
      </c>
      <c r="K18" s="126" t="s">
        <v>4</v>
      </c>
      <c r="L18" s="126" t="s">
        <v>43</v>
      </c>
      <c r="M18" s="147">
        <v>46003</v>
      </c>
      <c r="N18" s="126" t="s">
        <v>4</v>
      </c>
      <c r="O18" s="138"/>
      <c r="P18" s="7"/>
      <c r="Q18" s="101"/>
      <c r="R18" s="7"/>
      <c r="S18" s="7"/>
      <c r="T18" s="7"/>
      <c r="U18" s="7"/>
      <c r="V18" s="7"/>
      <c r="W18" s="7"/>
      <c r="X18" s="7"/>
      <c r="Y18" s="7"/>
      <c r="Z18" s="7"/>
    </row>
    <row r="19" spans="1:26" ht="12.75" customHeight="1" outlineLevel="1">
      <c r="A19" s="126" t="s">
        <v>660</v>
      </c>
      <c r="B19" s="126" t="s">
        <v>661</v>
      </c>
      <c r="C19" s="126" t="s">
        <v>662</v>
      </c>
      <c r="D19" s="126" t="s">
        <v>663</v>
      </c>
      <c r="E19" s="126"/>
      <c r="F19" s="126" t="s">
        <v>43</v>
      </c>
      <c r="G19" s="147">
        <v>45998</v>
      </c>
      <c r="H19" s="126" t="s">
        <v>4</v>
      </c>
      <c r="I19" s="126" t="s">
        <v>43</v>
      </c>
      <c r="J19" s="147">
        <v>46001</v>
      </c>
      <c r="K19" s="126" t="s">
        <v>4</v>
      </c>
      <c r="L19" s="126" t="s">
        <v>43</v>
      </c>
      <c r="M19" s="147">
        <v>46003</v>
      </c>
      <c r="N19" s="126" t="s">
        <v>4</v>
      </c>
      <c r="O19" s="138"/>
      <c r="P19" s="7"/>
      <c r="Q19" s="101"/>
      <c r="R19" s="7"/>
      <c r="S19" s="7"/>
      <c r="T19" s="7"/>
      <c r="U19" s="7"/>
      <c r="V19" s="7"/>
      <c r="W19" s="7"/>
      <c r="X19" s="7"/>
      <c r="Y19" s="7"/>
      <c r="Z19" s="7"/>
    </row>
    <row r="20" spans="1:26" ht="12.75" customHeight="1" outlineLevel="1">
      <c r="A20" s="126" t="s">
        <v>664</v>
      </c>
      <c r="B20" s="126" t="s">
        <v>665</v>
      </c>
      <c r="C20" s="126" t="s">
        <v>666</v>
      </c>
      <c r="D20" s="126" t="s">
        <v>667</v>
      </c>
      <c r="E20" s="126" t="s">
        <v>668</v>
      </c>
      <c r="F20" s="126" t="s">
        <v>43</v>
      </c>
      <c r="G20" s="147">
        <v>45998</v>
      </c>
      <c r="H20" s="126" t="s">
        <v>4</v>
      </c>
      <c r="I20" s="126" t="s">
        <v>43</v>
      </c>
      <c r="J20" s="147">
        <v>46001</v>
      </c>
      <c r="K20" s="126" t="s">
        <v>4</v>
      </c>
      <c r="L20" s="126" t="s">
        <v>43</v>
      </c>
      <c r="M20" s="147">
        <v>46003</v>
      </c>
      <c r="N20" s="126" t="s">
        <v>4</v>
      </c>
      <c r="O20" s="138"/>
      <c r="P20" s="7"/>
      <c r="Q20" s="101"/>
      <c r="R20" s="7"/>
      <c r="S20" s="7"/>
      <c r="T20" s="7"/>
      <c r="U20" s="7"/>
      <c r="V20" s="7"/>
      <c r="W20" s="7"/>
      <c r="X20" s="7"/>
      <c r="Y20" s="7"/>
      <c r="Z20" s="7"/>
    </row>
    <row r="21" spans="1:26" ht="12.75" customHeight="1" outlineLevel="1">
      <c r="A21" s="126" t="s">
        <v>669</v>
      </c>
      <c r="B21" s="126" t="s">
        <v>670</v>
      </c>
      <c r="C21" s="126" t="s">
        <v>671</v>
      </c>
      <c r="D21" s="126" t="s">
        <v>672</v>
      </c>
      <c r="E21" s="126" t="s">
        <v>673</v>
      </c>
      <c r="F21" s="126" t="s">
        <v>43</v>
      </c>
      <c r="G21" s="147">
        <v>45998</v>
      </c>
      <c r="H21" s="126" t="s">
        <v>4</v>
      </c>
      <c r="I21" s="126" t="s">
        <v>43</v>
      </c>
      <c r="J21" s="147">
        <v>46001</v>
      </c>
      <c r="K21" s="126" t="s">
        <v>4</v>
      </c>
      <c r="L21" s="126" t="s">
        <v>43</v>
      </c>
      <c r="M21" s="147">
        <v>46003</v>
      </c>
      <c r="N21" s="126" t="s">
        <v>4</v>
      </c>
      <c r="O21" s="138"/>
      <c r="P21" s="7"/>
      <c r="Q21" s="101"/>
      <c r="R21" s="7"/>
      <c r="S21" s="7"/>
      <c r="T21" s="7"/>
      <c r="U21" s="7"/>
      <c r="V21" s="7"/>
      <c r="W21" s="7"/>
      <c r="X21" s="7"/>
      <c r="Y21" s="7"/>
      <c r="Z21" s="7"/>
    </row>
    <row r="22" spans="1:26" ht="12.75" customHeight="1" outlineLevel="1">
      <c r="A22" s="126" t="s">
        <v>674</v>
      </c>
      <c r="B22" s="126" t="s">
        <v>675</v>
      </c>
      <c r="C22" s="126" t="s">
        <v>676</v>
      </c>
      <c r="D22" s="126" t="s">
        <v>677</v>
      </c>
      <c r="E22" s="126" t="s">
        <v>678</v>
      </c>
      <c r="F22" s="126" t="s">
        <v>43</v>
      </c>
      <c r="G22" s="147">
        <v>45998</v>
      </c>
      <c r="H22" s="126" t="s">
        <v>4</v>
      </c>
      <c r="I22" s="126" t="s">
        <v>43</v>
      </c>
      <c r="J22" s="147">
        <v>46001</v>
      </c>
      <c r="K22" s="126" t="s">
        <v>4</v>
      </c>
      <c r="L22" s="126" t="s">
        <v>43</v>
      </c>
      <c r="M22" s="147">
        <v>46003</v>
      </c>
      <c r="N22" s="126" t="s">
        <v>4</v>
      </c>
      <c r="O22" s="138"/>
      <c r="P22" s="7"/>
      <c r="Q22" s="101"/>
      <c r="R22" s="7"/>
      <c r="S22" s="7"/>
      <c r="T22" s="7"/>
      <c r="U22" s="7"/>
      <c r="V22" s="7"/>
      <c r="W22" s="7"/>
      <c r="X22" s="7"/>
      <c r="Y22" s="7"/>
      <c r="Z22" s="7"/>
    </row>
    <row r="23" spans="1:26" ht="12.75" customHeight="1" outlineLevel="1">
      <c r="A23" s="126" t="s">
        <v>679</v>
      </c>
      <c r="B23" s="126" t="s">
        <v>680</v>
      </c>
      <c r="C23" s="126" t="s">
        <v>676</v>
      </c>
      <c r="D23" s="126" t="s">
        <v>681</v>
      </c>
      <c r="E23" s="126" t="s">
        <v>678</v>
      </c>
      <c r="F23" s="126" t="s">
        <v>43</v>
      </c>
      <c r="G23" s="147">
        <v>45998</v>
      </c>
      <c r="H23" s="126" t="s">
        <v>4</v>
      </c>
      <c r="I23" s="126" t="s">
        <v>43</v>
      </c>
      <c r="J23" s="147">
        <v>46001</v>
      </c>
      <c r="K23" s="126" t="s">
        <v>4</v>
      </c>
      <c r="L23" s="126" t="s">
        <v>43</v>
      </c>
      <c r="M23" s="147">
        <v>46003</v>
      </c>
      <c r="N23" s="126" t="s">
        <v>4</v>
      </c>
      <c r="O23" s="138"/>
      <c r="P23" s="7"/>
      <c r="Q23" s="101"/>
      <c r="R23" s="7"/>
      <c r="S23" s="7"/>
      <c r="T23" s="7"/>
      <c r="U23" s="7"/>
      <c r="V23" s="7"/>
      <c r="W23" s="7"/>
      <c r="X23" s="7"/>
      <c r="Y23" s="7"/>
      <c r="Z23" s="7"/>
    </row>
    <row r="24" spans="1:26" ht="12.75" customHeight="1" outlineLevel="1">
      <c r="A24" s="126" t="s">
        <v>682</v>
      </c>
      <c r="B24" s="126" t="s">
        <v>683</v>
      </c>
      <c r="C24" s="126" t="s">
        <v>684</v>
      </c>
      <c r="D24" s="126" t="s">
        <v>685</v>
      </c>
      <c r="E24" s="126" t="s">
        <v>686</v>
      </c>
      <c r="F24" s="126" t="s">
        <v>43</v>
      </c>
      <c r="G24" s="147">
        <v>45998</v>
      </c>
      <c r="H24" s="126" t="s">
        <v>4</v>
      </c>
      <c r="I24" s="126" t="s">
        <v>43</v>
      </c>
      <c r="J24" s="147">
        <v>46001</v>
      </c>
      <c r="K24" s="126" t="s">
        <v>4</v>
      </c>
      <c r="L24" s="126" t="s">
        <v>43</v>
      </c>
      <c r="M24" s="147">
        <v>46003</v>
      </c>
      <c r="N24" s="126" t="s">
        <v>4</v>
      </c>
      <c r="O24" s="138"/>
      <c r="P24" s="7"/>
      <c r="Q24" s="101"/>
      <c r="R24" s="7"/>
      <c r="S24" s="7"/>
      <c r="T24" s="7"/>
      <c r="U24" s="7"/>
      <c r="V24" s="7"/>
      <c r="W24" s="7"/>
      <c r="X24" s="7"/>
      <c r="Y24" s="7"/>
      <c r="Z24" s="7"/>
    </row>
    <row r="25" spans="1:26" ht="15.75" customHeight="1">
      <c r="A25" s="122" t="s">
        <v>687</v>
      </c>
      <c r="B25" s="134"/>
      <c r="C25" s="135"/>
      <c r="D25" s="135"/>
      <c r="E25" s="135"/>
      <c r="F25" s="135"/>
      <c r="G25" s="135"/>
      <c r="H25" s="135"/>
      <c r="I25" s="135"/>
      <c r="J25" s="135"/>
      <c r="K25" s="135"/>
      <c r="L25" s="135"/>
      <c r="M25" s="135"/>
      <c r="N25" s="135"/>
      <c r="O25" s="136"/>
      <c r="P25" s="106"/>
      <c r="Q25" s="125"/>
      <c r="R25" s="106"/>
      <c r="S25" s="106"/>
      <c r="T25" s="106"/>
      <c r="U25" s="106"/>
      <c r="V25" s="106"/>
      <c r="W25" s="106"/>
      <c r="X25" s="106"/>
      <c r="Y25" s="106"/>
      <c r="Z25" s="106"/>
    </row>
    <row r="26" spans="1:26" ht="12.75" customHeight="1" outlineLevel="1">
      <c r="A26" s="126" t="s">
        <v>688</v>
      </c>
      <c r="B26" s="126" t="s">
        <v>689</v>
      </c>
      <c r="C26" s="126" t="s">
        <v>690</v>
      </c>
      <c r="D26" s="126" t="s">
        <v>691</v>
      </c>
      <c r="E26" s="126" t="s">
        <v>692</v>
      </c>
      <c r="F26" s="126" t="s">
        <v>43</v>
      </c>
      <c r="G26" s="147">
        <v>45998</v>
      </c>
      <c r="H26" s="126" t="s">
        <v>4</v>
      </c>
      <c r="I26" s="126" t="s">
        <v>43</v>
      </c>
      <c r="J26" s="147">
        <v>46001</v>
      </c>
      <c r="K26" s="126" t="s">
        <v>4</v>
      </c>
      <c r="L26" s="126" t="s">
        <v>43</v>
      </c>
      <c r="M26" s="147">
        <v>46003</v>
      </c>
      <c r="N26" s="126" t="s">
        <v>4</v>
      </c>
      <c r="O26" s="138"/>
      <c r="P26" s="153"/>
      <c r="Q26" s="154"/>
      <c r="R26" s="153"/>
      <c r="S26" s="153"/>
      <c r="T26" s="153"/>
      <c r="U26" s="153"/>
      <c r="V26" s="153"/>
      <c r="W26" s="153"/>
      <c r="X26" s="153"/>
      <c r="Y26" s="153"/>
      <c r="Z26" s="153"/>
    </row>
    <row r="27" spans="1:26" ht="12.75" customHeight="1" outlineLevel="1">
      <c r="A27" s="126" t="s">
        <v>693</v>
      </c>
      <c r="B27" s="126" t="s">
        <v>694</v>
      </c>
      <c r="C27" s="126" t="s">
        <v>695</v>
      </c>
      <c r="D27" s="126" t="s">
        <v>696</v>
      </c>
      <c r="E27" s="126" t="s">
        <v>697</v>
      </c>
      <c r="F27" s="126" t="s">
        <v>43</v>
      </c>
      <c r="G27" s="147">
        <v>45998</v>
      </c>
      <c r="H27" s="126" t="s">
        <v>4</v>
      </c>
      <c r="I27" s="126" t="s">
        <v>43</v>
      </c>
      <c r="J27" s="147">
        <v>46001</v>
      </c>
      <c r="K27" s="126" t="s">
        <v>4</v>
      </c>
      <c r="L27" s="126" t="s">
        <v>43</v>
      </c>
      <c r="M27" s="147">
        <v>46003</v>
      </c>
      <c r="N27" s="126" t="s">
        <v>4</v>
      </c>
      <c r="O27" s="138"/>
      <c r="P27" s="171"/>
      <c r="Q27" s="172"/>
      <c r="R27" s="171"/>
      <c r="S27" s="171"/>
      <c r="T27" s="171"/>
      <c r="U27" s="171"/>
      <c r="V27" s="171"/>
      <c r="W27" s="171"/>
      <c r="X27" s="171"/>
      <c r="Y27" s="171"/>
      <c r="Z27" s="171"/>
    </row>
    <row r="28" spans="1:26" ht="12.75" customHeight="1" outlineLevel="1">
      <c r="A28" s="126" t="s">
        <v>698</v>
      </c>
      <c r="B28" s="126" t="s">
        <v>699</v>
      </c>
      <c r="C28" s="126" t="s">
        <v>700</v>
      </c>
      <c r="D28" s="126" t="s">
        <v>701</v>
      </c>
      <c r="E28" s="126" t="s">
        <v>702</v>
      </c>
      <c r="F28" s="126" t="s">
        <v>43</v>
      </c>
      <c r="G28" s="147">
        <v>45998</v>
      </c>
      <c r="H28" s="126" t="s">
        <v>4</v>
      </c>
      <c r="I28" s="126" t="s">
        <v>43</v>
      </c>
      <c r="J28" s="147">
        <v>46001</v>
      </c>
      <c r="K28" s="126" t="s">
        <v>4</v>
      </c>
      <c r="L28" s="126" t="s">
        <v>43</v>
      </c>
      <c r="M28" s="147">
        <v>46003</v>
      </c>
      <c r="N28" s="126" t="s">
        <v>4</v>
      </c>
      <c r="O28" s="138"/>
      <c r="P28" s="171"/>
      <c r="Q28" s="172"/>
      <c r="R28" s="171"/>
      <c r="S28" s="171"/>
      <c r="T28" s="171"/>
      <c r="U28" s="171"/>
      <c r="V28" s="171"/>
      <c r="W28" s="171"/>
      <c r="X28" s="171"/>
      <c r="Y28" s="171"/>
      <c r="Z28" s="171"/>
    </row>
    <row r="29" spans="1:26" ht="12.75" customHeight="1" outlineLevel="1">
      <c r="A29" s="126" t="s">
        <v>703</v>
      </c>
      <c r="B29" s="126" t="s">
        <v>704</v>
      </c>
      <c r="C29" s="126" t="s">
        <v>705</v>
      </c>
      <c r="D29" s="126" t="s">
        <v>706</v>
      </c>
      <c r="E29" s="126" t="s">
        <v>707</v>
      </c>
      <c r="F29" s="126" t="s">
        <v>43</v>
      </c>
      <c r="G29" s="147">
        <v>45998</v>
      </c>
      <c r="H29" s="126" t="s">
        <v>4</v>
      </c>
      <c r="I29" s="126" t="s">
        <v>43</v>
      </c>
      <c r="J29" s="147">
        <v>46001</v>
      </c>
      <c r="K29" s="126" t="s">
        <v>4</v>
      </c>
      <c r="L29" s="126" t="s">
        <v>43</v>
      </c>
      <c r="M29" s="147">
        <v>46003</v>
      </c>
      <c r="N29" s="126" t="s">
        <v>4</v>
      </c>
      <c r="O29" s="138"/>
      <c r="P29" s="171"/>
      <c r="Q29" s="172"/>
      <c r="R29" s="171"/>
      <c r="S29" s="171"/>
      <c r="T29" s="171"/>
      <c r="U29" s="171"/>
      <c r="V29" s="171"/>
      <c r="W29" s="171"/>
      <c r="X29" s="171"/>
      <c r="Y29" s="171"/>
      <c r="Z29" s="171"/>
    </row>
    <row r="30" spans="1:26" ht="12.75" customHeight="1" outlineLevel="1">
      <c r="A30" s="126" t="s">
        <v>708</v>
      </c>
      <c r="B30" s="126" t="s">
        <v>709</v>
      </c>
      <c r="C30" s="126" t="s">
        <v>710</v>
      </c>
      <c r="D30" s="126" t="s">
        <v>711</v>
      </c>
      <c r="E30" s="126" t="s">
        <v>712</v>
      </c>
      <c r="F30" s="126" t="s">
        <v>43</v>
      </c>
      <c r="G30" s="147">
        <v>45998</v>
      </c>
      <c r="H30" s="126" t="s">
        <v>4</v>
      </c>
      <c r="I30" s="126" t="s">
        <v>43</v>
      </c>
      <c r="J30" s="147">
        <v>46001</v>
      </c>
      <c r="K30" s="126" t="s">
        <v>4</v>
      </c>
      <c r="L30" s="126" t="s">
        <v>43</v>
      </c>
      <c r="M30" s="147">
        <v>46003</v>
      </c>
      <c r="N30" s="126" t="s">
        <v>4</v>
      </c>
      <c r="O30" s="138"/>
      <c r="P30" s="171"/>
      <c r="Q30" s="172"/>
      <c r="R30" s="171"/>
      <c r="S30" s="171"/>
      <c r="T30" s="171"/>
      <c r="U30" s="171"/>
      <c r="V30" s="171"/>
      <c r="W30" s="171"/>
      <c r="X30" s="171"/>
      <c r="Y30" s="171"/>
      <c r="Z30" s="171"/>
    </row>
    <row r="31" spans="1:26" ht="15.75" customHeight="1">
      <c r="A31" s="122" t="s">
        <v>713</v>
      </c>
      <c r="B31" s="134"/>
      <c r="C31" s="135"/>
      <c r="D31" s="135"/>
      <c r="E31" s="135"/>
      <c r="F31" s="135"/>
      <c r="G31" s="135"/>
      <c r="H31" s="135"/>
      <c r="I31" s="135"/>
      <c r="J31" s="135"/>
      <c r="K31" s="135"/>
      <c r="L31" s="135"/>
      <c r="M31" s="135"/>
      <c r="N31" s="135"/>
      <c r="O31" s="136"/>
      <c r="P31" s="106"/>
      <c r="Q31" s="125"/>
      <c r="R31" s="106"/>
      <c r="S31" s="106"/>
      <c r="T31" s="106"/>
      <c r="U31" s="106"/>
      <c r="V31" s="106"/>
      <c r="W31" s="106"/>
      <c r="X31" s="106"/>
      <c r="Y31" s="106"/>
      <c r="Z31" s="106"/>
    </row>
    <row r="32" spans="1:26" ht="12.75" customHeight="1" outlineLevel="1">
      <c r="A32" s="126" t="s">
        <v>714</v>
      </c>
      <c r="B32" s="126" t="s">
        <v>715</v>
      </c>
      <c r="C32" s="126" t="s">
        <v>716</v>
      </c>
      <c r="D32" s="126" t="s">
        <v>717</v>
      </c>
      <c r="E32" s="126" t="s">
        <v>718</v>
      </c>
      <c r="F32" s="126" t="s">
        <v>43</v>
      </c>
      <c r="G32" s="147">
        <v>45998</v>
      </c>
      <c r="H32" s="126" t="s">
        <v>4</v>
      </c>
      <c r="I32" s="126" t="s">
        <v>43</v>
      </c>
      <c r="J32" s="147">
        <v>46001</v>
      </c>
      <c r="K32" s="126" t="s">
        <v>4</v>
      </c>
      <c r="L32" s="126" t="s">
        <v>43</v>
      </c>
      <c r="M32" s="147">
        <v>46003</v>
      </c>
      <c r="N32" s="126" t="s">
        <v>4</v>
      </c>
      <c r="O32" s="126"/>
      <c r="P32" s="7"/>
      <c r="Q32" s="130"/>
      <c r="R32" s="7"/>
      <c r="S32" s="7"/>
      <c r="T32" s="7"/>
      <c r="U32" s="7"/>
      <c r="V32" s="7"/>
      <c r="W32" s="7"/>
      <c r="X32" s="7"/>
      <c r="Y32" s="7"/>
      <c r="Z32" s="7"/>
    </row>
    <row r="33" spans="1:26" ht="12.75" customHeight="1" outlineLevel="1">
      <c r="A33" s="126" t="s">
        <v>719</v>
      </c>
      <c r="B33" s="126" t="s">
        <v>720</v>
      </c>
      <c r="C33" s="126" t="s">
        <v>721</v>
      </c>
      <c r="D33" s="126" t="s">
        <v>722</v>
      </c>
      <c r="E33" s="126" t="s">
        <v>723</v>
      </c>
      <c r="F33" s="126" t="s">
        <v>43</v>
      </c>
      <c r="G33" s="147">
        <v>45998</v>
      </c>
      <c r="H33" s="126" t="s">
        <v>4</v>
      </c>
      <c r="I33" s="126" t="s">
        <v>43</v>
      </c>
      <c r="J33" s="147">
        <v>46001</v>
      </c>
      <c r="K33" s="126" t="s">
        <v>4</v>
      </c>
      <c r="L33" s="126" t="s">
        <v>43</v>
      </c>
      <c r="M33" s="147">
        <v>46003</v>
      </c>
      <c r="N33" s="126" t="s">
        <v>4</v>
      </c>
      <c r="O33" s="138"/>
      <c r="P33" s="7"/>
      <c r="Q33" s="101"/>
      <c r="R33" s="7"/>
      <c r="S33" s="7"/>
      <c r="T33" s="7"/>
      <c r="U33" s="7"/>
      <c r="V33" s="7"/>
      <c r="W33" s="7"/>
      <c r="X33" s="7"/>
      <c r="Y33" s="7"/>
      <c r="Z33" s="7"/>
    </row>
    <row r="34" spans="1:26" ht="12.75" customHeight="1" outlineLevel="1">
      <c r="A34" s="126" t="s">
        <v>724</v>
      </c>
      <c r="B34" s="126" t="s">
        <v>725</v>
      </c>
      <c r="C34" s="126" t="s">
        <v>726</v>
      </c>
      <c r="D34" s="126" t="s">
        <v>727</v>
      </c>
      <c r="E34" s="126" t="s">
        <v>723</v>
      </c>
      <c r="F34" s="126" t="s">
        <v>43</v>
      </c>
      <c r="G34" s="147">
        <v>45998</v>
      </c>
      <c r="H34" s="126" t="s">
        <v>4</v>
      </c>
      <c r="I34" s="126" t="s">
        <v>43</v>
      </c>
      <c r="J34" s="147">
        <v>46001</v>
      </c>
      <c r="K34" s="126" t="s">
        <v>4</v>
      </c>
      <c r="L34" s="126" t="s">
        <v>43</v>
      </c>
      <c r="M34" s="147">
        <v>46003</v>
      </c>
      <c r="N34" s="126" t="s">
        <v>4</v>
      </c>
      <c r="O34" s="138"/>
      <c r="P34" s="7"/>
      <c r="Q34" s="101"/>
      <c r="R34" s="7"/>
      <c r="S34" s="7"/>
      <c r="T34" s="7"/>
      <c r="U34" s="7"/>
      <c r="V34" s="7"/>
      <c r="W34" s="7"/>
      <c r="X34" s="7"/>
      <c r="Y34" s="7"/>
      <c r="Z34" s="7"/>
    </row>
    <row r="35" spans="1:26" ht="12.75" customHeight="1" outlineLevel="1">
      <c r="A35" s="126" t="s">
        <v>728</v>
      </c>
      <c r="B35" s="126" t="s">
        <v>729</v>
      </c>
      <c r="C35" s="126" t="s">
        <v>730</v>
      </c>
      <c r="D35" s="126" t="s">
        <v>731</v>
      </c>
      <c r="E35" s="126" t="s">
        <v>723</v>
      </c>
      <c r="F35" s="126" t="s">
        <v>43</v>
      </c>
      <c r="G35" s="147">
        <v>45998</v>
      </c>
      <c r="H35" s="126" t="s">
        <v>4</v>
      </c>
      <c r="I35" s="126" t="s">
        <v>43</v>
      </c>
      <c r="J35" s="147">
        <v>46001</v>
      </c>
      <c r="K35" s="126" t="s">
        <v>4</v>
      </c>
      <c r="L35" s="126" t="s">
        <v>43</v>
      </c>
      <c r="M35" s="147">
        <v>46003</v>
      </c>
      <c r="N35" s="126" t="s">
        <v>4</v>
      </c>
      <c r="O35" s="138"/>
      <c r="P35" s="7"/>
      <c r="Q35" s="101"/>
      <c r="R35" s="7"/>
      <c r="S35" s="7"/>
      <c r="T35" s="7"/>
      <c r="U35" s="7"/>
      <c r="V35" s="7"/>
      <c r="W35" s="7"/>
      <c r="X35" s="7"/>
      <c r="Y35" s="7"/>
      <c r="Z35" s="7"/>
    </row>
    <row r="36" spans="1:26" ht="12.75" customHeight="1" outlineLevel="1">
      <c r="A36" s="126" t="s">
        <v>732</v>
      </c>
      <c r="B36" s="126" t="s">
        <v>733</v>
      </c>
      <c r="C36" s="126" t="s">
        <v>734</v>
      </c>
      <c r="D36" s="126" t="s">
        <v>722</v>
      </c>
      <c r="E36" s="126" t="s">
        <v>723</v>
      </c>
      <c r="F36" s="126" t="s">
        <v>43</v>
      </c>
      <c r="G36" s="147">
        <v>45998</v>
      </c>
      <c r="H36" s="126" t="s">
        <v>4</v>
      </c>
      <c r="I36" s="126" t="s">
        <v>43</v>
      </c>
      <c r="J36" s="147">
        <v>46001</v>
      </c>
      <c r="K36" s="126" t="s">
        <v>4</v>
      </c>
      <c r="L36" s="126" t="s">
        <v>43</v>
      </c>
      <c r="M36" s="147">
        <v>46003</v>
      </c>
      <c r="N36" s="126" t="s">
        <v>4</v>
      </c>
      <c r="O36" s="138"/>
      <c r="P36" s="7"/>
      <c r="Q36" s="101"/>
      <c r="R36" s="7"/>
      <c r="S36" s="7"/>
      <c r="T36" s="7"/>
      <c r="U36" s="7"/>
      <c r="V36" s="7"/>
      <c r="W36" s="7"/>
      <c r="X36" s="7"/>
      <c r="Y36" s="7"/>
      <c r="Z36" s="7"/>
    </row>
    <row r="37" spans="1:26" ht="12.75" customHeight="1" outlineLevel="1">
      <c r="A37" s="126" t="s">
        <v>735</v>
      </c>
      <c r="B37" s="126" t="s">
        <v>736</v>
      </c>
      <c r="C37" s="126" t="s">
        <v>737</v>
      </c>
      <c r="D37" s="126" t="s">
        <v>727</v>
      </c>
      <c r="E37" s="126" t="s">
        <v>723</v>
      </c>
      <c r="F37" s="126" t="s">
        <v>43</v>
      </c>
      <c r="G37" s="147">
        <v>45998</v>
      </c>
      <c r="H37" s="126" t="s">
        <v>4</v>
      </c>
      <c r="I37" s="126" t="s">
        <v>43</v>
      </c>
      <c r="J37" s="147">
        <v>46001</v>
      </c>
      <c r="K37" s="126" t="s">
        <v>4</v>
      </c>
      <c r="L37" s="126" t="s">
        <v>43</v>
      </c>
      <c r="M37" s="147">
        <v>46003</v>
      </c>
      <c r="N37" s="126" t="s">
        <v>4</v>
      </c>
      <c r="O37" s="138"/>
      <c r="P37" s="7"/>
      <c r="Q37" s="101"/>
      <c r="R37" s="7"/>
      <c r="S37" s="7"/>
      <c r="T37" s="7"/>
      <c r="U37" s="7"/>
      <c r="V37" s="7"/>
      <c r="W37" s="7"/>
      <c r="X37" s="7"/>
      <c r="Y37" s="7"/>
      <c r="Z37" s="7"/>
    </row>
    <row r="38" spans="1:26" ht="12.75" customHeight="1" outlineLevel="1">
      <c r="A38" s="126" t="s">
        <v>738</v>
      </c>
      <c r="B38" s="126" t="s">
        <v>739</v>
      </c>
      <c r="C38" s="126" t="s">
        <v>740</v>
      </c>
      <c r="D38" s="126" t="s">
        <v>731</v>
      </c>
      <c r="E38" s="126" t="s">
        <v>723</v>
      </c>
      <c r="F38" s="126" t="s">
        <v>43</v>
      </c>
      <c r="G38" s="147">
        <v>45998</v>
      </c>
      <c r="H38" s="126" t="s">
        <v>4</v>
      </c>
      <c r="I38" s="126" t="s">
        <v>43</v>
      </c>
      <c r="J38" s="147">
        <v>46001</v>
      </c>
      <c r="K38" s="126" t="s">
        <v>4</v>
      </c>
      <c r="L38" s="126" t="s">
        <v>43</v>
      </c>
      <c r="M38" s="147">
        <v>46003</v>
      </c>
      <c r="N38" s="126" t="s">
        <v>4</v>
      </c>
      <c r="O38" s="138"/>
      <c r="P38" s="7"/>
      <c r="Q38" s="101"/>
      <c r="R38" s="7"/>
      <c r="S38" s="7"/>
      <c r="T38" s="7"/>
      <c r="U38" s="7"/>
      <c r="V38" s="7"/>
      <c r="W38" s="7"/>
      <c r="X38" s="7"/>
      <c r="Y38" s="7"/>
      <c r="Z38" s="7"/>
    </row>
    <row r="39" spans="1:26" ht="12.75" customHeight="1" outlineLevel="1">
      <c r="A39" s="126" t="s">
        <v>741</v>
      </c>
      <c r="B39" s="126" t="s">
        <v>742</v>
      </c>
      <c r="C39" s="126" t="s">
        <v>743</v>
      </c>
      <c r="D39" s="126" t="s">
        <v>744</v>
      </c>
      <c r="E39" s="126" t="s">
        <v>723</v>
      </c>
      <c r="F39" s="126" t="s">
        <v>43</v>
      </c>
      <c r="G39" s="147">
        <v>45998</v>
      </c>
      <c r="H39" s="126" t="s">
        <v>4</v>
      </c>
      <c r="I39" s="126" t="s">
        <v>43</v>
      </c>
      <c r="J39" s="147">
        <v>46001</v>
      </c>
      <c r="K39" s="126" t="s">
        <v>4</v>
      </c>
      <c r="L39" s="126" t="s">
        <v>43</v>
      </c>
      <c r="M39" s="147">
        <v>46003</v>
      </c>
      <c r="N39" s="126" t="s">
        <v>4</v>
      </c>
      <c r="O39" s="138"/>
      <c r="P39" s="7"/>
      <c r="Q39" s="101"/>
      <c r="R39" s="7"/>
      <c r="S39" s="7"/>
      <c r="T39" s="7"/>
      <c r="U39" s="7"/>
      <c r="V39" s="7"/>
      <c r="W39" s="7"/>
      <c r="X39" s="7"/>
      <c r="Y39" s="7"/>
      <c r="Z39" s="7"/>
    </row>
    <row r="40" spans="1:26" ht="12.75" customHeight="1" outlineLevel="1">
      <c r="A40" s="126" t="s">
        <v>745</v>
      </c>
      <c r="B40" s="126" t="s">
        <v>746</v>
      </c>
      <c r="C40" s="126" t="s">
        <v>743</v>
      </c>
      <c r="D40" s="126" t="s">
        <v>747</v>
      </c>
      <c r="E40" s="126" t="s">
        <v>723</v>
      </c>
      <c r="F40" s="126" t="s">
        <v>43</v>
      </c>
      <c r="G40" s="147">
        <v>45998</v>
      </c>
      <c r="H40" s="126" t="s">
        <v>4</v>
      </c>
      <c r="I40" s="126" t="s">
        <v>43</v>
      </c>
      <c r="J40" s="147">
        <v>46001</v>
      </c>
      <c r="K40" s="126" t="s">
        <v>4</v>
      </c>
      <c r="L40" s="126" t="s">
        <v>43</v>
      </c>
      <c r="M40" s="147">
        <v>46003</v>
      </c>
      <c r="N40" s="126" t="s">
        <v>4</v>
      </c>
      <c r="O40" s="138"/>
      <c r="P40" s="7"/>
      <c r="Q40" s="101"/>
      <c r="R40" s="7"/>
      <c r="S40" s="7"/>
      <c r="T40" s="7"/>
      <c r="U40" s="7"/>
      <c r="V40" s="7"/>
      <c r="W40" s="7"/>
      <c r="X40" s="7"/>
      <c r="Y40" s="7"/>
      <c r="Z40" s="7"/>
    </row>
    <row r="41" spans="1:26" ht="12.75" customHeight="1" outlineLevel="1">
      <c r="A41" s="126" t="s">
        <v>748</v>
      </c>
      <c r="B41" s="126" t="s">
        <v>749</v>
      </c>
      <c r="C41" s="126" t="s">
        <v>716</v>
      </c>
      <c r="D41" s="126" t="s">
        <v>750</v>
      </c>
      <c r="E41" s="126" t="s">
        <v>723</v>
      </c>
      <c r="F41" s="126" t="s">
        <v>43</v>
      </c>
      <c r="G41" s="147">
        <v>45998</v>
      </c>
      <c r="H41" s="126" t="s">
        <v>4</v>
      </c>
      <c r="I41" s="126" t="s">
        <v>43</v>
      </c>
      <c r="J41" s="147">
        <v>46001</v>
      </c>
      <c r="K41" s="126" t="s">
        <v>4</v>
      </c>
      <c r="L41" s="126" t="s">
        <v>43</v>
      </c>
      <c r="M41" s="147">
        <v>46003</v>
      </c>
      <c r="N41" s="126" t="s">
        <v>4</v>
      </c>
      <c r="O41" s="138"/>
      <c r="P41" s="7"/>
      <c r="Q41" s="101"/>
      <c r="R41" s="7"/>
      <c r="S41" s="7"/>
      <c r="T41" s="7"/>
      <c r="U41" s="7"/>
      <c r="V41" s="7"/>
      <c r="W41" s="7"/>
      <c r="X41" s="7"/>
      <c r="Y41" s="7"/>
      <c r="Z41" s="7"/>
    </row>
    <row r="42" spans="1:26" ht="12.75" customHeight="1" outlineLevel="1">
      <c r="A42" s="126" t="s">
        <v>751</v>
      </c>
      <c r="B42" s="126" t="s">
        <v>752</v>
      </c>
      <c r="C42" s="126" t="s">
        <v>743</v>
      </c>
      <c r="D42" s="126" t="s">
        <v>753</v>
      </c>
      <c r="E42" s="126" t="s">
        <v>723</v>
      </c>
      <c r="F42" s="126" t="s">
        <v>43</v>
      </c>
      <c r="G42" s="147">
        <v>45998</v>
      </c>
      <c r="H42" s="126" t="s">
        <v>4</v>
      </c>
      <c r="I42" s="126" t="s">
        <v>43</v>
      </c>
      <c r="J42" s="147">
        <v>46001</v>
      </c>
      <c r="K42" s="126" t="s">
        <v>4</v>
      </c>
      <c r="L42" s="126" t="s">
        <v>43</v>
      </c>
      <c r="M42" s="147">
        <v>46003</v>
      </c>
      <c r="N42" s="126" t="s">
        <v>4</v>
      </c>
      <c r="O42" s="138"/>
      <c r="P42" s="7"/>
      <c r="Q42" s="101"/>
      <c r="R42" s="7"/>
      <c r="S42" s="7"/>
      <c r="T42" s="7"/>
      <c r="U42" s="7"/>
      <c r="V42" s="7"/>
      <c r="W42" s="7"/>
      <c r="X42" s="7"/>
      <c r="Y42" s="7"/>
      <c r="Z42" s="7"/>
    </row>
    <row r="43" spans="1:26" ht="12.75" customHeight="1" outlineLevel="1">
      <c r="A43" s="126" t="s">
        <v>754</v>
      </c>
      <c r="B43" s="126" t="s">
        <v>755</v>
      </c>
      <c r="C43" s="126" t="s">
        <v>716</v>
      </c>
      <c r="D43" s="126" t="s">
        <v>717</v>
      </c>
      <c r="E43" s="126" t="s">
        <v>723</v>
      </c>
      <c r="F43" s="126" t="s">
        <v>43</v>
      </c>
      <c r="G43" s="147">
        <v>45998</v>
      </c>
      <c r="H43" s="126" t="s">
        <v>4</v>
      </c>
      <c r="I43" s="126" t="s">
        <v>43</v>
      </c>
      <c r="J43" s="147">
        <v>46001</v>
      </c>
      <c r="K43" s="126" t="s">
        <v>4</v>
      </c>
      <c r="L43" s="126" t="s">
        <v>43</v>
      </c>
      <c r="M43" s="147">
        <v>46003</v>
      </c>
      <c r="N43" s="126" t="s">
        <v>4</v>
      </c>
      <c r="O43" s="138"/>
      <c r="P43" s="7"/>
      <c r="Q43" s="101"/>
      <c r="R43" s="7"/>
      <c r="S43" s="7"/>
      <c r="T43" s="7"/>
      <c r="U43" s="7"/>
      <c r="V43" s="7"/>
      <c r="W43" s="7"/>
      <c r="X43" s="7"/>
      <c r="Y43" s="7"/>
      <c r="Z43" s="7"/>
    </row>
    <row r="44" spans="1:26" ht="12.75" customHeight="1" outlineLevel="1">
      <c r="A44" s="126" t="s">
        <v>756</v>
      </c>
      <c r="B44" s="126" t="s">
        <v>757</v>
      </c>
      <c r="C44" s="126" t="s">
        <v>716</v>
      </c>
      <c r="D44" s="126" t="s">
        <v>717</v>
      </c>
      <c r="E44" s="126" t="s">
        <v>723</v>
      </c>
      <c r="F44" s="126" t="s">
        <v>43</v>
      </c>
      <c r="G44" s="147">
        <v>45998</v>
      </c>
      <c r="H44" s="126" t="s">
        <v>4</v>
      </c>
      <c r="I44" s="126" t="s">
        <v>43</v>
      </c>
      <c r="J44" s="147">
        <v>46001</v>
      </c>
      <c r="K44" s="126" t="s">
        <v>4</v>
      </c>
      <c r="L44" s="126" t="s">
        <v>43</v>
      </c>
      <c r="M44" s="147">
        <v>46003</v>
      </c>
      <c r="N44" s="126" t="s">
        <v>4</v>
      </c>
      <c r="O44" s="138"/>
      <c r="P44" s="7"/>
      <c r="Q44" s="101"/>
      <c r="R44" s="7"/>
      <c r="S44" s="7"/>
      <c r="T44" s="7"/>
      <c r="U44" s="7"/>
      <c r="V44" s="7"/>
      <c r="W44" s="7"/>
      <c r="X44" s="7"/>
      <c r="Y44" s="7"/>
      <c r="Z44" s="7"/>
    </row>
    <row r="45" spans="1:26" ht="12.75" customHeight="1" outlineLevel="1">
      <c r="A45" s="126" t="s">
        <v>758</v>
      </c>
      <c r="B45" s="126" t="s">
        <v>749</v>
      </c>
      <c r="C45" s="126" t="s">
        <v>716</v>
      </c>
      <c r="D45" s="126" t="s">
        <v>717</v>
      </c>
      <c r="E45" s="126" t="s">
        <v>723</v>
      </c>
      <c r="F45" s="126" t="s">
        <v>43</v>
      </c>
      <c r="G45" s="147">
        <v>45998</v>
      </c>
      <c r="H45" s="126" t="s">
        <v>4</v>
      </c>
      <c r="I45" s="126" t="s">
        <v>43</v>
      </c>
      <c r="J45" s="147">
        <v>46001</v>
      </c>
      <c r="K45" s="126" t="s">
        <v>4</v>
      </c>
      <c r="L45" s="126" t="s">
        <v>43</v>
      </c>
      <c r="M45" s="147">
        <v>46003</v>
      </c>
      <c r="N45" s="126" t="s">
        <v>4</v>
      </c>
      <c r="O45" s="138"/>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row r="1010" spans="1:26" ht="12.75" customHeight="1">
      <c r="A1010" s="7"/>
      <c r="B1010" s="7"/>
      <c r="C1010" s="7"/>
      <c r="D1010" s="7"/>
      <c r="E1010" s="7"/>
      <c r="F1010" s="7"/>
      <c r="G1010" s="7"/>
      <c r="H1010" s="7"/>
      <c r="I1010" s="7"/>
      <c r="J1010" s="7"/>
      <c r="K1010" s="7"/>
      <c r="L1010" s="7"/>
      <c r="M1010" s="7"/>
      <c r="N1010" s="7"/>
      <c r="O1010" s="7"/>
      <c r="P1010" s="7"/>
      <c r="Q1010" s="101"/>
      <c r="R1010" s="7"/>
      <c r="S1010" s="7"/>
      <c r="T1010" s="7"/>
      <c r="U1010" s="7"/>
      <c r="V1010" s="7"/>
      <c r="W1010" s="7"/>
      <c r="X1010" s="7"/>
      <c r="Y1010" s="7"/>
      <c r="Z1010" s="7"/>
    </row>
    <row r="1011" spans="1:26" ht="12.75" customHeight="1">
      <c r="A1011" s="7"/>
      <c r="B1011" s="7"/>
      <c r="C1011" s="7"/>
      <c r="D1011" s="7"/>
      <c r="E1011" s="7"/>
      <c r="F1011" s="7"/>
      <c r="G1011" s="7"/>
      <c r="H1011" s="7"/>
      <c r="I1011" s="7"/>
      <c r="J1011" s="7"/>
      <c r="K1011" s="7"/>
      <c r="L1011" s="7"/>
      <c r="M1011" s="7"/>
      <c r="N1011" s="7"/>
      <c r="O1011" s="7"/>
      <c r="P1011" s="7"/>
      <c r="Q1011" s="101"/>
      <c r="R1011" s="7"/>
      <c r="S1011" s="7"/>
      <c r="T1011" s="7"/>
      <c r="U1011" s="7"/>
      <c r="V1011" s="7"/>
      <c r="W1011" s="7"/>
      <c r="X1011" s="7"/>
      <c r="Y1011" s="7"/>
      <c r="Z1011" s="7"/>
    </row>
    <row r="1012" spans="1:26" ht="12.75" customHeight="1">
      <c r="A1012" s="7"/>
      <c r="B1012" s="7"/>
      <c r="C1012" s="7"/>
      <c r="D1012" s="7"/>
      <c r="E1012" s="7"/>
      <c r="F1012" s="7"/>
      <c r="G1012" s="7"/>
      <c r="H1012" s="7"/>
      <c r="I1012" s="7"/>
      <c r="J1012" s="7"/>
      <c r="K1012" s="7"/>
      <c r="L1012" s="7"/>
      <c r="M1012" s="7"/>
      <c r="N1012" s="7"/>
      <c r="O1012" s="7"/>
      <c r="P1012" s="7"/>
      <c r="Q1012" s="101"/>
      <c r="R1012" s="7"/>
      <c r="S1012" s="7"/>
      <c r="T1012" s="7"/>
      <c r="U1012" s="7"/>
      <c r="V1012" s="7"/>
      <c r="W1012" s="7"/>
      <c r="X1012" s="7"/>
      <c r="Y1012" s="7"/>
      <c r="Z1012" s="7"/>
    </row>
  </sheetData>
  <mergeCells count="3">
    <mergeCell ref="B2:E2"/>
    <mergeCell ref="B3:E3"/>
    <mergeCell ref="B4:E4"/>
  </mergeCells>
  <dataValidations count="1">
    <dataValidation type="list" allowBlank="1" showErrorMessage="1" sqref="G2:G3 J2:J3 M2:M3 G9 J9 M9 F11:F45 I11:I45 L11:L45 G46:G157 J46:J157 M46:M157" xr:uid="{00000000-0002-0000-08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9"/>
  <sheetViews>
    <sheetView topLeftCell="C9" workbookViewId="0"/>
  </sheetViews>
  <sheetFormatPr defaultColWidth="12.6640625" defaultRowHeight="15" customHeight="1" outlineLevelRow="1" outlineLevelCol="1"/>
  <cols>
    <col min="1" max="1" width="19.44140625" customWidth="1"/>
    <col min="2" max="2" width="34.44140625" customWidth="1"/>
    <col min="3" max="3" width="34.109375" customWidth="1"/>
    <col min="4" max="4" width="34.6640625" customWidth="1"/>
    <col min="5" max="5" width="28.33203125" customWidth="1"/>
    <col min="6" max="6" width="9.33203125" customWidth="1"/>
    <col min="7" max="7" width="10.6640625" customWidth="1" outlineLevel="1"/>
    <col min="8" max="8" width="7" customWidth="1" outlineLevel="1"/>
    <col min="9" max="9" width="9.33203125" customWidth="1"/>
    <col min="10" max="10" width="10.6640625" customWidth="1" outlineLevel="1"/>
    <col min="11" max="11" width="7" customWidth="1" outlineLevel="1"/>
    <col min="12" max="12" width="9.33203125" customWidth="1"/>
    <col min="13" max="13" width="10.66406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3" t="s">
        <v>37</v>
      </c>
      <c r="C2" s="194"/>
      <c r="D2" s="194"/>
      <c r="E2" s="195"/>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6" t="s">
        <v>759</v>
      </c>
      <c r="C3" s="178"/>
      <c r="D3" s="178"/>
      <c r="E3" s="197"/>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6">
        <v>16</v>
      </c>
      <c r="C4" s="178"/>
      <c r="D4" s="178"/>
      <c r="E4" s="197"/>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COUNTIF($F10:$F1007,B5)</f>
        <v>16</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COUNTIF($F10:$F1007,B5)</f>
        <v>16</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COUNTIF($F10:$F1007,B5)</f>
        <v>16</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760</v>
      </c>
      <c r="B11" s="122"/>
      <c r="C11" s="123"/>
      <c r="D11" s="123"/>
      <c r="E11" s="123"/>
      <c r="F11" s="123"/>
      <c r="G11" s="123"/>
      <c r="H11" s="123"/>
      <c r="I11" s="123"/>
      <c r="J11" s="123"/>
      <c r="K11" s="123"/>
      <c r="L11" s="123"/>
      <c r="M11" s="123"/>
      <c r="N11" s="123"/>
      <c r="O11" s="124"/>
      <c r="P11" s="144"/>
      <c r="Q11" s="145"/>
      <c r="R11" s="144"/>
      <c r="S11" s="144"/>
      <c r="T11" s="144"/>
      <c r="U11" s="144"/>
      <c r="V11" s="144"/>
      <c r="W11" s="144"/>
      <c r="X11" s="144"/>
      <c r="Y11" s="144"/>
      <c r="Z11" s="144"/>
    </row>
    <row r="12" spans="1:26" ht="12.75" customHeight="1" outlineLevel="1">
      <c r="A12" s="126" t="s">
        <v>761</v>
      </c>
      <c r="B12" s="126" t="s">
        <v>762</v>
      </c>
      <c r="C12" s="126" t="s">
        <v>763</v>
      </c>
      <c r="D12" s="131" t="s">
        <v>764</v>
      </c>
      <c r="E12" s="131" t="s">
        <v>765</v>
      </c>
      <c r="F12" s="126" t="s">
        <v>43</v>
      </c>
      <c r="G12" s="147">
        <v>45998</v>
      </c>
      <c r="H12" s="126" t="s">
        <v>4</v>
      </c>
      <c r="I12" s="126" t="s">
        <v>43</v>
      </c>
      <c r="J12" s="147">
        <v>46001</v>
      </c>
      <c r="K12" s="126" t="s">
        <v>4</v>
      </c>
      <c r="L12" s="126" t="s">
        <v>43</v>
      </c>
      <c r="M12" s="147">
        <v>46003</v>
      </c>
      <c r="N12" s="126" t="s">
        <v>4</v>
      </c>
      <c r="O12" s="126"/>
      <c r="P12" s="138"/>
      <c r="Q12" s="170"/>
      <c r="R12" s="138"/>
      <c r="S12" s="138"/>
      <c r="T12" s="138"/>
      <c r="U12" s="138"/>
      <c r="V12" s="138"/>
      <c r="W12" s="138"/>
      <c r="X12" s="138"/>
      <c r="Y12" s="138"/>
      <c r="Z12" s="138"/>
    </row>
    <row r="13" spans="1:26" ht="12.75" customHeight="1" outlineLevel="1">
      <c r="A13" s="126" t="s">
        <v>766</v>
      </c>
      <c r="B13" s="126" t="s">
        <v>767</v>
      </c>
      <c r="C13" s="126" t="s">
        <v>768</v>
      </c>
      <c r="D13" s="131" t="s">
        <v>769</v>
      </c>
      <c r="E13" s="131" t="s">
        <v>770</v>
      </c>
      <c r="F13" s="126" t="s">
        <v>43</v>
      </c>
      <c r="G13" s="147">
        <v>45998</v>
      </c>
      <c r="H13" s="126" t="s">
        <v>4</v>
      </c>
      <c r="I13" s="126" t="s">
        <v>43</v>
      </c>
      <c r="J13" s="147">
        <v>46001</v>
      </c>
      <c r="K13" s="126" t="s">
        <v>4</v>
      </c>
      <c r="L13" s="126" t="s">
        <v>43</v>
      </c>
      <c r="M13" s="147">
        <v>46003</v>
      </c>
      <c r="N13" s="126" t="s">
        <v>4</v>
      </c>
      <c r="O13" s="126"/>
      <c r="P13" s="138"/>
      <c r="Q13" s="170"/>
      <c r="R13" s="138"/>
      <c r="S13" s="138"/>
      <c r="T13" s="138"/>
      <c r="U13" s="138"/>
      <c r="V13" s="138"/>
      <c r="W13" s="138"/>
      <c r="X13" s="138"/>
      <c r="Y13" s="138"/>
      <c r="Z13" s="138"/>
    </row>
    <row r="14" spans="1:26" ht="12.75" customHeight="1" outlineLevel="1">
      <c r="A14" s="126" t="s">
        <v>771</v>
      </c>
      <c r="B14" s="126" t="s">
        <v>772</v>
      </c>
      <c r="C14" s="126" t="s">
        <v>773</v>
      </c>
      <c r="D14" s="131" t="s">
        <v>774</v>
      </c>
      <c r="E14" s="131" t="s">
        <v>770</v>
      </c>
      <c r="F14" s="126" t="s">
        <v>43</v>
      </c>
      <c r="G14" s="147">
        <v>45998</v>
      </c>
      <c r="H14" s="126" t="s">
        <v>4</v>
      </c>
      <c r="I14" s="126" t="s">
        <v>43</v>
      </c>
      <c r="J14" s="147">
        <v>46001</v>
      </c>
      <c r="K14" s="126" t="s">
        <v>4</v>
      </c>
      <c r="L14" s="126" t="s">
        <v>43</v>
      </c>
      <c r="M14" s="147">
        <v>46003</v>
      </c>
      <c r="N14" s="126" t="s">
        <v>4</v>
      </c>
      <c r="O14" s="126"/>
      <c r="P14" s="138"/>
      <c r="Q14" s="170"/>
      <c r="R14" s="138"/>
      <c r="S14" s="138"/>
      <c r="T14" s="138"/>
      <c r="U14" s="138"/>
      <c r="V14" s="138"/>
      <c r="W14" s="138"/>
      <c r="X14" s="138"/>
      <c r="Y14" s="138"/>
      <c r="Z14" s="138"/>
    </row>
    <row r="15" spans="1:26" ht="12.75" customHeight="1" outlineLevel="1">
      <c r="A15" s="126" t="s">
        <v>775</v>
      </c>
      <c r="B15" s="126" t="s">
        <v>776</v>
      </c>
      <c r="C15" s="126" t="s">
        <v>777</v>
      </c>
      <c r="D15" s="131" t="s">
        <v>778</v>
      </c>
      <c r="E15" s="131" t="s">
        <v>779</v>
      </c>
      <c r="F15" s="126" t="s">
        <v>43</v>
      </c>
      <c r="G15" s="147">
        <v>45998</v>
      </c>
      <c r="H15" s="126" t="s">
        <v>4</v>
      </c>
      <c r="I15" s="126" t="s">
        <v>43</v>
      </c>
      <c r="J15" s="147">
        <v>46001</v>
      </c>
      <c r="K15" s="126" t="s">
        <v>4</v>
      </c>
      <c r="L15" s="126" t="s">
        <v>43</v>
      </c>
      <c r="M15" s="147">
        <v>46003</v>
      </c>
      <c r="N15" s="126" t="s">
        <v>4</v>
      </c>
      <c r="O15" s="126"/>
      <c r="P15" s="138"/>
      <c r="Q15" s="170"/>
      <c r="R15" s="138"/>
      <c r="S15" s="138"/>
      <c r="T15" s="138"/>
      <c r="U15" s="138"/>
      <c r="V15" s="138"/>
      <c r="W15" s="138"/>
      <c r="X15" s="138"/>
      <c r="Y15" s="138"/>
      <c r="Z15" s="138"/>
    </row>
    <row r="16" spans="1:26" ht="12.75" customHeight="1" outlineLevel="1">
      <c r="A16" s="126" t="s">
        <v>780</v>
      </c>
      <c r="B16" s="126" t="s">
        <v>781</v>
      </c>
      <c r="C16" s="126" t="s">
        <v>782</v>
      </c>
      <c r="D16" s="131" t="s">
        <v>783</v>
      </c>
      <c r="E16" s="131" t="s">
        <v>784</v>
      </c>
      <c r="F16" s="126" t="s">
        <v>43</v>
      </c>
      <c r="G16" s="147">
        <v>45998</v>
      </c>
      <c r="H16" s="126" t="s">
        <v>4</v>
      </c>
      <c r="I16" s="126" t="s">
        <v>43</v>
      </c>
      <c r="J16" s="147">
        <v>46001</v>
      </c>
      <c r="K16" s="126" t="s">
        <v>4</v>
      </c>
      <c r="L16" s="126" t="s">
        <v>43</v>
      </c>
      <c r="M16" s="147">
        <v>46003</v>
      </c>
      <c r="N16" s="126" t="s">
        <v>4</v>
      </c>
      <c r="O16" s="126"/>
      <c r="P16" s="138"/>
      <c r="Q16" s="170"/>
      <c r="R16" s="138"/>
      <c r="S16" s="138"/>
      <c r="T16" s="138"/>
      <c r="U16" s="138"/>
      <c r="V16" s="138"/>
      <c r="W16" s="138"/>
      <c r="X16" s="138"/>
      <c r="Y16" s="138"/>
      <c r="Z16" s="138"/>
    </row>
    <row r="17" spans="1:26" ht="12.75" customHeight="1" outlineLevel="1">
      <c r="A17" s="126" t="s">
        <v>785</v>
      </c>
      <c r="B17" s="126" t="s">
        <v>786</v>
      </c>
      <c r="C17" s="126" t="s">
        <v>787</v>
      </c>
      <c r="D17" s="131" t="s">
        <v>788</v>
      </c>
      <c r="E17" s="131" t="s">
        <v>789</v>
      </c>
      <c r="F17" s="126" t="s">
        <v>43</v>
      </c>
      <c r="G17" s="147">
        <v>45998</v>
      </c>
      <c r="H17" s="126" t="s">
        <v>4</v>
      </c>
      <c r="I17" s="126" t="s">
        <v>43</v>
      </c>
      <c r="J17" s="147">
        <v>46001</v>
      </c>
      <c r="K17" s="126" t="s">
        <v>4</v>
      </c>
      <c r="L17" s="126" t="s">
        <v>43</v>
      </c>
      <c r="M17" s="147">
        <v>46003</v>
      </c>
      <c r="N17" s="126" t="s">
        <v>4</v>
      </c>
      <c r="O17" s="126"/>
      <c r="P17" s="138"/>
      <c r="Q17" s="170"/>
      <c r="R17" s="138"/>
      <c r="S17" s="138"/>
      <c r="T17" s="138"/>
      <c r="U17" s="138"/>
      <c r="V17" s="138"/>
      <c r="W17" s="138"/>
      <c r="X17" s="138"/>
      <c r="Y17" s="138"/>
      <c r="Z17" s="138"/>
    </row>
    <row r="18" spans="1:26" ht="12.75" customHeight="1" outlineLevel="1">
      <c r="A18" s="126" t="s">
        <v>790</v>
      </c>
      <c r="B18" s="126" t="s">
        <v>791</v>
      </c>
      <c r="C18" s="126" t="s">
        <v>792</v>
      </c>
      <c r="D18" s="131" t="s">
        <v>793</v>
      </c>
      <c r="E18" s="131" t="s">
        <v>794</v>
      </c>
      <c r="F18" s="126" t="s">
        <v>43</v>
      </c>
      <c r="G18" s="147">
        <v>45998</v>
      </c>
      <c r="H18" s="126" t="s">
        <v>4</v>
      </c>
      <c r="I18" s="126" t="s">
        <v>43</v>
      </c>
      <c r="J18" s="147">
        <v>46001</v>
      </c>
      <c r="K18" s="126" t="s">
        <v>4</v>
      </c>
      <c r="L18" s="126" t="s">
        <v>43</v>
      </c>
      <c r="M18" s="147">
        <v>46003</v>
      </c>
      <c r="N18" s="126" t="s">
        <v>4</v>
      </c>
      <c r="O18" s="126"/>
      <c r="P18" s="138"/>
      <c r="Q18" s="170"/>
      <c r="R18" s="138"/>
      <c r="S18" s="138"/>
      <c r="T18" s="138"/>
      <c r="U18" s="138"/>
      <c r="V18" s="138"/>
      <c r="W18" s="138"/>
      <c r="X18" s="138"/>
      <c r="Y18" s="138"/>
      <c r="Z18" s="138"/>
    </row>
    <row r="19" spans="1:26" ht="15.75" customHeight="1">
      <c r="A19" s="148" t="s">
        <v>795</v>
      </c>
      <c r="B19" s="134"/>
      <c r="C19" s="135"/>
      <c r="D19" s="135"/>
      <c r="E19" s="135"/>
      <c r="F19" s="135"/>
      <c r="G19" s="135"/>
      <c r="H19" s="135"/>
      <c r="I19" s="135"/>
      <c r="J19" s="135"/>
      <c r="K19" s="135"/>
      <c r="L19" s="135"/>
      <c r="M19" s="135"/>
      <c r="N19" s="135"/>
      <c r="O19" s="136"/>
      <c r="P19" s="173"/>
      <c r="Q19" s="174"/>
      <c r="R19" s="173"/>
      <c r="S19" s="173"/>
      <c r="T19" s="173"/>
      <c r="U19" s="173"/>
      <c r="V19" s="173"/>
      <c r="W19" s="173"/>
      <c r="X19" s="173"/>
      <c r="Y19" s="173"/>
      <c r="Z19" s="173"/>
    </row>
    <row r="20" spans="1:26" ht="12.75" customHeight="1" outlineLevel="1">
      <c r="A20" s="126" t="s">
        <v>796</v>
      </c>
      <c r="B20" s="126" t="s">
        <v>797</v>
      </c>
      <c r="C20" s="126" t="s">
        <v>798</v>
      </c>
      <c r="D20" s="126" t="s">
        <v>799</v>
      </c>
      <c r="E20" s="126" t="s">
        <v>765</v>
      </c>
      <c r="F20" s="126" t="s">
        <v>43</v>
      </c>
      <c r="G20" s="147">
        <v>45998</v>
      </c>
      <c r="H20" s="126" t="s">
        <v>4</v>
      </c>
      <c r="I20" s="126" t="s">
        <v>43</v>
      </c>
      <c r="J20" s="147">
        <v>46001</v>
      </c>
      <c r="K20" s="126" t="s">
        <v>4</v>
      </c>
      <c r="L20" s="126" t="s">
        <v>43</v>
      </c>
      <c r="M20" s="147">
        <v>46003</v>
      </c>
      <c r="N20" s="126" t="s">
        <v>4</v>
      </c>
      <c r="O20" s="126"/>
      <c r="P20" s="138"/>
      <c r="Q20" s="170"/>
      <c r="R20" s="138"/>
      <c r="S20" s="138"/>
      <c r="T20" s="138"/>
      <c r="U20" s="138"/>
      <c r="V20" s="138"/>
      <c r="W20" s="138"/>
      <c r="X20" s="138"/>
      <c r="Y20" s="138"/>
      <c r="Z20" s="138"/>
    </row>
    <row r="21" spans="1:26" ht="12.75" customHeight="1" outlineLevel="1">
      <c r="A21" s="126" t="s">
        <v>800</v>
      </c>
      <c r="B21" s="126" t="s">
        <v>801</v>
      </c>
      <c r="C21" s="126" t="s">
        <v>802</v>
      </c>
      <c r="D21" s="126" t="s">
        <v>803</v>
      </c>
      <c r="E21" s="126" t="s">
        <v>804</v>
      </c>
      <c r="F21" s="126" t="s">
        <v>43</v>
      </c>
      <c r="G21" s="147">
        <v>45998</v>
      </c>
      <c r="H21" s="126" t="s">
        <v>4</v>
      </c>
      <c r="I21" s="126" t="s">
        <v>43</v>
      </c>
      <c r="J21" s="147">
        <v>46001</v>
      </c>
      <c r="K21" s="126" t="s">
        <v>4</v>
      </c>
      <c r="L21" s="126" t="s">
        <v>43</v>
      </c>
      <c r="M21" s="147">
        <v>46003</v>
      </c>
      <c r="N21" s="126" t="s">
        <v>4</v>
      </c>
      <c r="O21" s="126"/>
      <c r="P21" s="138"/>
      <c r="Q21" s="170"/>
      <c r="R21" s="138"/>
      <c r="S21" s="138"/>
      <c r="T21" s="138"/>
      <c r="U21" s="138"/>
      <c r="V21" s="138"/>
      <c r="W21" s="138"/>
      <c r="X21" s="138"/>
      <c r="Y21" s="138"/>
      <c r="Z21" s="138"/>
    </row>
    <row r="22" spans="1:26" ht="12.75" customHeight="1" outlineLevel="1">
      <c r="A22" s="126" t="s">
        <v>805</v>
      </c>
      <c r="B22" s="126" t="s">
        <v>806</v>
      </c>
      <c r="C22" s="126" t="s">
        <v>807</v>
      </c>
      <c r="D22" s="126" t="s">
        <v>808</v>
      </c>
      <c r="E22" s="126" t="s">
        <v>804</v>
      </c>
      <c r="F22" s="126" t="s">
        <v>43</v>
      </c>
      <c r="G22" s="147">
        <v>45998</v>
      </c>
      <c r="H22" s="126" t="s">
        <v>4</v>
      </c>
      <c r="I22" s="126" t="s">
        <v>43</v>
      </c>
      <c r="J22" s="147">
        <v>46001</v>
      </c>
      <c r="K22" s="126" t="s">
        <v>4</v>
      </c>
      <c r="L22" s="126" t="s">
        <v>43</v>
      </c>
      <c r="M22" s="147">
        <v>46003</v>
      </c>
      <c r="N22" s="126" t="s">
        <v>4</v>
      </c>
      <c r="O22" s="126"/>
      <c r="P22" s="138"/>
      <c r="Q22" s="170"/>
      <c r="R22" s="138"/>
      <c r="S22" s="138"/>
      <c r="T22" s="138"/>
      <c r="U22" s="138"/>
      <c r="V22" s="138"/>
      <c r="W22" s="138"/>
      <c r="X22" s="138"/>
      <c r="Y22" s="138"/>
      <c r="Z22" s="138"/>
    </row>
    <row r="23" spans="1:26" ht="12.75" customHeight="1" outlineLevel="1">
      <c r="A23" s="126" t="s">
        <v>809</v>
      </c>
      <c r="B23" s="126" t="s">
        <v>810</v>
      </c>
      <c r="C23" s="126" t="s">
        <v>811</v>
      </c>
      <c r="D23" s="126" t="s">
        <v>812</v>
      </c>
      <c r="E23" s="126" t="s">
        <v>804</v>
      </c>
      <c r="F23" s="126" t="s">
        <v>43</v>
      </c>
      <c r="G23" s="147">
        <v>45998</v>
      </c>
      <c r="H23" s="126" t="s">
        <v>4</v>
      </c>
      <c r="I23" s="126" t="s">
        <v>43</v>
      </c>
      <c r="J23" s="147">
        <v>46001</v>
      </c>
      <c r="K23" s="126" t="s">
        <v>4</v>
      </c>
      <c r="L23" s="126" t="s">
        <v>43</v>
      </c>
      <c r="M23" s="147">
        <v>46003</v>
      </c>
      <c r="N23" s="126" t="s">
        <v>4</v>
      </c>
      <c r="O23" s="126"/>
      <c r="P23" s="138"/>
      <c r="Q23" s="170"/>
      <c r="R23" s="138"/>
      <c r="S23" s="138"/>
      <c r="T23" s="138"/>
      <c r="U23" s="138"/>
      <c r="V23" s="138"/>
      <c r="W23" s="138"/>
      <c r="X23" s="138"/>
      <c r="Y23" s="138"/>
      <c r="Z23" s="138"/>
    </row>
    <row r="24" spans="1:26" ht="12.75" customHeight="1" outlineLevel="1">
      <c r="A24" s="126" t="s">
        <v>813</v>
      </c>
      <c r="B24" s="126" t="s">
        <v>814</v>
      </c>
      <c r="C24" s="126" t="s">
        <v>815</v>
      </c>
      <c r="D24" s="126" t="s">
        <v>816</v>
      </c>
      <c r="E24" s="126" t="s">
        <v>817</v>
      </c>
      <c r="F24" s="126" t="s">
        <v>43</v>
      </c>
      <c r="G24" s="147">
        <v>45998</v>
      </c>
      <c r="H24" s="126" t="s">
        <v>4</v>
      </c>
      <c r="I24" s="126" t="s">
        <v>43</v>
      </c>
      <c r="J24" s="147">
        <v>46001</v>
      </c>
      <c r="K24" s="126" t="s">
        <v>4</v>
      </c>
      <c r="L24" s="126" t="s">
        <v>43</v>
      </c>
      <c r="M24" s="147">
        <v>46003</v>
      </c>
      <c r="N24" s="126" t="s">
        <v>4</v>
      </c>
      <c r="O24" s="126"/>
      <c r="P24" s="138"/>
      <c r="Q24" s="170"/>
      <c r="R24" s="138"/>
      <c r="S24" s="138"/>
      <c r="T24" s="138"/>
      <c r="U24" s="138"/>
      <c r="V24" s="138"/>
      <c r="W24" s="138"/>
      <c r="X24" s="138"/>
      <c r="Y24" s="138"/>
      <c r="Z24" s="138"/>
    </row>
    <row r="25" spans="1:26" ht="12.75" customHeight="1" outlineLevel="1">
      <c r="A25" s="126" t="s">
        <v>818</v>
      </c>
      <c r="B25" s="126" t="s">
        <v>819</v>
      </c>
      <c r="C25" s="126" t="s">
        <v>820</v>
      </c>
      <c r="D25" s="126" t="s">
        <v>821</v>
      </c>
      <c r="E25" s="126" t="s">
        <v>822</v>
      </c>
      <c r="F25" s="126" t="s">
        <v>43</v>
      </c>
      <c r="G25" s="147">
        <v>45998</v>
      </c>
      <c r="H25" s="126" t="s">
        <v>4</v>
      </c>
      <c r="I25" s="126" t="s">
        <v>43</v>
      </c>
      <c r="J25" s="147">
        <v>46001</v>
      </c>
      <c r="K25" s="126" t="s">
        <v>4</v>
      </c>
      <c r="L25" s="126" t="s">
        <v>43</v>
      </c>
      <c r="M25" s="147">
        <v>46003</v>
      </c>
      <c r="N25" s="126" t="s">
        <v>4</v>
      </c>
      <c r="O25" s="126"/>
      <c r="P25" s="138"/>
      <c r="Q25" s="170"/>
      <c r="R25" s="138"/>
      <c r="S25" s="138"/>
      <c r="T25" s="138"/>
      <c r="U25" s="138"/>
      <c r="V25" s="138"/>
      <c r="W25" s="138"/>
      <c r="X25" s="138"/>
      <c r="Y25" s="138"/>
      <c r="Z25" s="138"/>
    </row>
    <row r="26" spans="1:26" ht="12.75" customHeight="1" outlineLevel="1">
      <c r="A26" s="126" t="s">
        <v>823</v>
      </c>
      <c r="B26" s="126" t="s">
        <v>824</v>
      </c>
      <c r="C26" s="126" t="s">
        <v>825</v>
      </c>
      <c r="D26" s="126" t="s">
        <v>826</v>
      </c>
      <c r="E26" s="126" t="s">
        <v>827</v>
      </c>
      <c r="F26" s="126" t="s">
        <v>43</v>
      </c>
      <c r="G26" s="147">
        <v>45998</v>
      </c>
      <c r="H26" s="126" t="s">
        <v>4</v>
      </c>
      <c r="I26" s="126" t="s">
        <v>43</v>
      </c>
      <c r="J26" s="147">
        <v>46001</v>
      </c>
      <c r="K26" s="126" t="s">
        <v>4</v>
      </c>
      <c r="L26" s="126" t="s">
        <v>43</v>
      </c>
      <c r="M26" s="147">
        <v>46003</v>
      </c>
      <c r="N26" s="126" t="s">
        <v>4</v>
      </c>
      <c r="O26" s="126"/>
      <c r="P26" s="138"/>
      <c r="Q26" s="170"/>
      <c r="R26" s="138"/>
      <c r="S26" s="138"/>
      <c r="T26" s="138"/>
      <c r="U26" s="138"/>
      <c r="V26" s="138"/>
      <c r="W26" s="138"/>
      <c r="X26" s="138"/>
      <c r="Y26" s="138"/>
      <c r="Z26" s="138"/>
    </row>
    <row r="27" spans="1:26" ht="12.75" customHeight="1" outlineLevel="1">
      <c r="A27" s="126" t="s">
        <v>828</v>
      </c>
      <c r="B27" s="126" t="s">
        <v>829</v>
      </c>
      <c r="C27" s="126" t="s">
        <v>830</v>
      </c>
      <c r="D27" s="126" t="s">
        <v>831</v>
      </c>
      <c r="E27" s="126" t="s">
        <v>832</v>
      </c>
      <c r="F27" s="126" t="s">
        <v>43</v>
      </c>
      <c r="G27" s="147">
        <v>45998</v>
      </c>
      <c r="H27" s="126" t="s">
        <v>4</v>
      </c>
      <c r="I27" s="126" t="s">
        <v>43</v>
      </c>
      <c r="J27" s="147">
        <v>46001</v>
      </c>
      <c r="K27" s="126" t="s">
        <v>4</v>
      </c>
      <c r="L27" s="126" t="s">
        <v>43</v>
      </c>
      <c r="M27" s="147">
        <v>46003</v>
      </c>
      <c r="N27" s="126" t="s">
        <v>4</v>
      </c>
      <c r="O27" s="126"/>
      <c r="P27" s="138"/>
      <c r="Q27" s="170"/>
      <c r="R27" s="138"/>
      <c r="S27" s="138"/>
      <c r="T27" s="138"/>
      <c r="U27" s="138"/>
      <c r="V27" s="138"/>
      <c r="W27" s="138"/>
      <c r="X27" s="138"/>
      <c r="Y27" s="138"/>
      <c r="Z27" s="138"/>
    </row>
    <row r="28" spans="1:26" ht="12.75" customHeight="1" outlineLevel="1">
      <c r="A28" s="126" t="s">
        <v>833</v>
      </c>
      <c r="B28" s="126" t="s">
        <v>834</v>
      </c>
      <c r="C28" s="126" t="s">
        <v>835</v>
      </c>
      <c r="D28" s="126" t="s">
        <v>836</v>
      </c>
      <c r="E28" s="126" t="s">
        <v>837</v>
      </c>
      <c r="F28" s="126" t="s">
        <v>43</v>
      </c>
      <c r="G28" s="147">
        <v>45998</v>
      </c>
      <c r="H28" s="126" t="s">
        <v>4</v>
      </c>
      <c r="I28" s="126" t="s">
        <v>43</v>
      </c>
      <c r="J28" s="147">
        <v>46001</v>
      </c>
      <c r="K28" s="126" t="s">
        <v>4</v>
      </c>
      <c r="L28" s="126" t="s">
        <v>43</v>
      </c>
      <c r="M28" s="147">
        <v>46003</v>
      </c>
      <c r="N28" s="126" t="s">
        <v>4</v>
      </c>
      <c r="O28" s="126"/>
      <c r="P28" s="138"/>
      <c r="Q28" s="170"/>
      <c r="R28" s="138"/>
      <c r="S28" s="138"/>
      <c r="T28" s="138"/>
      <c r="U28" s="138"/>
      <c r="V28" s="138"/>
      <c r="W28" s="138"/>
      <c r="X28" s="138"/>
      <c r="Y28" s="138"/>
      <c r="Z28" s="138"/>
    </row>
    <row r="29" spans="1:26" ht="12.75" customHeight="1">
      <c r="A29" s="40"/>
      <c r="B29" s="40"/>
      <c r="C29" s="40"/>
      <c r="D29" s="40"/>
      <c r="E29" s="40"/>
      <c r="F29" s="40"/>
      <c r="G29" s="40"/>
      <c r="H29" s="40"/>
      <c r="I29" s="40"/>
      <c r="J29" s="40"/>
      <c r="K29" s="40"/>
      <c r="L29" s="40"/>
      <c r="M29" s="40"/>
      <c r="N29" s="40"/>
      <c r="O29" s="40"/>
      <c r="P29" s="40"/>
      <c r="Q29" s="160"/>
      <c r="R29" s="40"/>
      <c r="S29" s="40"/>
      <c r="T29" s="40"/>
      <c r="U29" s="40"/>
      <c r="V29" s="40"/>
      <c r="W29" s="40"/>
      <c r="X29" s="40"/>
      <c r="Y29" s="40"/>
      <c r="Z29" s="40"/>
    </row>
    <row r="30" spans="1:26" ht="12.75" customHeight="1">
      <c r="A30" s="7"/>
      <c r="B30" s="7"/>
      <c r="C30" s="7"/>
      <c r="D30" s="7"/>
      <c r="E30" s="7"/>
      <c r="F30" s="7"/>
      <c r="G30" s="7"/>
      <c r="H30" s="7"/>
      <c r="I30" s="7"/>
      <c r="J30" s="7"/>
      <c r="K30" s="7"/>
      <c r="L30" s="7"/>
      <c r="M30" s="7"/>
      <c r="N30" s="7"/>
      <c r="O30" s="7"/>
      <c r="P30" s="7"/>
      <c r="Q30" s="101"/>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101"/>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101"/>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101"/>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101"/>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101"/>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101"/>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101"/>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101"/>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101"/>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01"/>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01"/>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01"/>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01"/>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01"/>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sheetData>
  <mergeCells count="3">
    <mergeCell ref="B2:E2"/>
    <mergeCell ref="B3:E3"/>
    <mergeCell ref="B4:E4"/>
  </mergeCells>
  <dataValidations count="1">
    <dataValidation type="list" allowBlank="1" showErrorMessage="1" sqref="G2:G3 J2:J3 M2:M3 G9 J9 M9 F12:F28 I12:I28 L12:L28 G29:G156 J29:J156 M29:M156" xr:uid="{00000000-0002-0000-0900-000000000000}">
      <formula1>$R$2:$R$5</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15"/>
  <sheetViews>
    <sheetView workbookViewId="0"/>
  </sheetViews>
  <sheetFormatPr defaultColWidth="12.6640625" defaultRowHeight="15" customHeight="1" outlineLevelRow="1" outlineLevelCol="1"/>
  <cols>
    <col min="1" max="1" width="17" customWidth="1"/>
    <col min="2" max="2" width="34.44140625" customWidth="1"/>
    <col min="3" max="3" width="34.109375" customWidth="1"/>
    <col min="4" max="4" width="34.6640625" customWidth="1"/>
    <col min="5" max="5" width="28.33203125" customWidth="1"/>
    <col min="6" max="6" width="9.33203125" customWidth="1"/>
    <col min="7" max="7" width="10.6640625" customWidth="1" outlineLevel="1"/>
    <col min="8" max="8" width="7" customWidth="1" outlineLevel="1"/>
    <col min="9" max="9" width="9.33203125" customWidth="1"/>
    <col min="10" max="10" width="10.6640625" customWidth="1" outlineLevel="1"/>
    <col min="11" max="11" width="7" customWidth="1" outlineLevel="1"/>
    <col min="12" max="12" width="9.33203125" customWidth="1"/>
    <col min="13" max="13" width="10.66406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3" t="s">
        <v>838</v>
      </c>
      <c r="C2" s="194"/>
      <c r="D2" s="194"/>
      <c r="E2" s="195"/>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6" t="s">
        <v>596</v>
      </c>
      <c r="C3" s="178"/>
      <c r="D3" s="178"/>
      <c r="E3" s="197"/>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6">
        <f>COUNTA(A12:A1015)</f>
        <v>23</v>
      </c>
      <c r="C4" s="178"/>
      <c r="D4" s="178"/>
      <c r="E4" s="197"/>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COUNTIF($F10:$F1013,B5)</f>
        <v>11</v>
      </c>
      <c r="C6" s="114">
        <f t="shared" si="0"/>
        <v>0</v>
      </c>
      <c r="D6" s="114">
        <f t="shared" si="0"/>
        <v>5</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COUNTIF($F10:$F1013,B5)</f>
        <v>11</v>
      </c>
      <c r="C7" s="114">
        <f t="shared" si="1"/>
        <v>0</v>
      </c>
      <c r="D7" s="114">
        <f t="shared" si="1"/>
        <v>5</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COUNTIF($F10:$F1013,B5)</f>
        <v>11</v>
      </c>
      <c r="C8" s="118">
        <f t="shared" si="2"/>
        <v>0</v>
      </c>
      <c r="D8" s="118">
        <f t="shared" si="2"/>
        <v>5</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839</v>
      </c>
      <c r="B11" s="122"/>
      <c r="C11" s="123"/>
      <c r="D11" s="123"/>
      <c r="E11" s="123"/>
      <c r="F11" s="123"/>
      <c r="G11" s="123"/>
      <c r="H11" s="123"/>
      <c r="I11" s="123"/>
      <c r="J11" s="123"/>
      <c r="K11" s="123"/>
      <c r="L11" s="123"/>
      <c r="M11" s="123"/>
      <c r="N11" s="123"/>
      <c r="O11" s="124"/>
      <c r="P11" s="106"/>
      <c r="Q11" s="125"/>
      <c r="R11" s="106"/>
      <c r="S11" s="106"/>
      <c r="T11" s="106"/>
      <c r="U11" s="106"/>
      <c r="V11" s="106"/>
      <c r="W11" s="106"/>
      <c r="X11" s="106"/>
      <c r="Y11" s="106"/>
      <c r="Z11" s="106"/>
    </row>
    <row r="12" spans="1:26" ht="120.75" customHeight="1" outlineLevel="1">
      <c r="A12" s="126" t="s">
        <v>840</v>
      </c>
      <c r="B12" s="175" t="s">
        <v>841</v>
      </c>
      <c r="C12" s="175" t="s">
        <v>842</v>
      </c>
      <c r="D12" s="176" t="s">
        <v>843</v>
      </c>
      <c r="E12" s="176" t="s">
        <v>844</v>
      </c>
      <c r="F12" s="126" t="s">
        <v>45</v>
      </c>
      <c r="G12" s="126"/>
      <c r="H12" s="126"/>
      <c r="I12" s="126" t="s">
        <v>45</v>
      </c>
      <c r="J12" s="126"/>
      <c r="K12" s="126"/>
      <c r="L12" s="126" t="s">
        <v>45</v>
      </c>
      <c r="M12" s="126"/>
      <c r="N12" s="126"/>
      <c r="O12" s="126"/>
      <c r="P12" s="129"/>
      <c r="Q12" s="130"/>
      <c r="R12" s="129"/>
      <c r="S12" s="129"/>
      <c r="T12" s="129"/>
      <c r="U12" s="129"/>
      <c r="V12" s="129"/>
      <c r="W12" s="129"/>
      <c r="X12" s="129"/>
      <c r="Y12" s="129"/>
      <c r="Z12" s="129"/>
    </row>
    <row r="13" spans="1:26" ht="12.75" customHeight="1" outlineLevel="1">
      <c r="A13" s="126" t="s">
        <v>845</v>
      </c>
      <c r="B13" s="126" t="s">
        <v>846</v>
      </c>
      <c r="C13" s="126"/>
      <c r="D13" s="131"/>
      <c r="E13" s="131"/>
      <c r="F13" s="126" t="s">
        <v>45</v>
      </c>
      <c r="G13" s="126"/>
      <c r="H13" s="126"/>
      <c r="I13" s="126" t="s">
        <v>45</v>
      </c>
      <c r="J13" s="126"/>
      <c r="K13" s="126"/>
      <c r="L13" s="126" t="s">
        <v>45</v>
      </c>
      <c r="M13" s="126"/>
      <c r="N13" s="126"/>
      <c r="O13" s="126"/>
      <c r="P13" s="7"/>
      <c r="Q13" s="130"/>
      <c r="R13" s="7"/>
      <c r="S13" s="7"/>
      <c r="T13" s="7"/>
      <c r="U13" s="7"/>
      <c r="V13" s="7"/>
      <c r="W13" s="7"/>
      <c r="X13" s="7"/>
      <c r="Y13" s="7"/>
      <c r="Z13" s="7"/>
    </row>
    <row r="14" spans="1:26" ht="12.75" customHeight="1" outlineLevel="1">
      <c r="A14" s="126" t="s">
        <v>847</v>
      </c>
      <c r="B14" s="126" t="s">
        <v>848</v>
      </c>
      <c r="C14" s="126"/>
      <c r="D14" s="131"/>
      <c r="E14" s="131"/>
      <c r="F14" s="126" t="s">
        <v>45</v>
      </c>
      <c r="G14" s="126"/>
      <c r="H14" s="126"/>
      <c r="I14" s="126" t="s">
        <v>45</v>
      </c>
      <c r="J14" s="126"/>
      <c r="K14" s="126"/>
      <c r="L14" s="126" t="s">
        <v>45</v>
      </c>
      <c r="M14" s="126"/>
      <c r="N14" s="126"/>
      <c r="O14" s="126"/>
      <c r="P14" s="7"/>
      <c r="Q14" s="130"/>
      <c r="R14" s="7"/>
      <c r="S14" s="7"/>
      <c r="T14" s="7"/>
      <c r="U14" s="7"/>
      <c r="V14" s="7"/>
      <c r="W14" s="7"/>
      <c r="X14" s="7"/>
      <c r="Y14" s="7"/>
      <c r="Z14" s="7"/>
    </row>
    <row r="15" spans="1:26" ht="15.75" customHeight="1">
      <c r="A15" s="122" t="s">
        <v>713</v>
      </c>
      <c r="B15" s="134"/>
      <c r="C15" s="135"/>
      <c r="D15" s="135"/>
      <c r="E15" s="135"/>
      <c r="F15" s="135"/>
      <c r="G15" s="135"/>
      <c r="H15" s="135"/>
      <c r="I15" s="135"/>
      <c r="J15" s="135"/>
      <c r="K15" s="135"/>
      <c r="L15" s="135"/>
      <c r="M15" s="135"/>
      <c r="N15" s="135"/>
      <c r="O15" s="136"/>
      <c r="P15" s="106"/>
      <c r="Q15" s="125"/>
      <c r="R15" s="106"/>
      <c r="S15" s="106"/>
      <c r="T15" s="106"/>
      <c r="U15" s="106"/>
      <c r="V15" s="106"/>
      <c r="W15" s="106"/>
      <c r="X15" s="106"/>
      <c r="Y15" s="106"/>
      <c r="Z15" s="106"/>
    </row>
    <row r="16" spans="1:26" ht="12.75" customHeight="1" outlineLevel="1">
      <c r="A16" s="126" t="s">
        <v>714</v>
      </c>
      <c r="B16" s="126" t="s">
        <v>715</v>
      </c>
      <c r="C16" s="126" t="s">
        <v>716</v>
      </c>
      <c r="D16" s="126" t="s">
        <v>717</v>
      </c>
      <c r="E16" s="126" t="s">
        <v>718</v>
      </c>
      <c r="F16" s="126" t="s">
        <v>43</v>
      </c>
      <c r="G16" s="128">
        <v>45966</v>
      </c>
      <c r="H16" s="126" t="s">
        <v>849</v>
      </c>
      <c r="I16" s="126" t="s">
        <v>45</v>
      </c>
      <c r="J16" s="126"/>
      <c r="K16" s="126"/>
      <c r="L16" s="126" t="s">
        <v>45</v>
      </c>
      <c r="M16" s="126"/>
      <c r="N16" s="126"/>
      <c r="O16" s="126"/>
      <c r="P16" s="7"/>
      <c r="Q16" s="130"/>
      <c r="R16" s="7"/>
      <c r="S16" s="7"/>
      <c r="T16" s="7"/>
      <c r="U16" s="7"/>
      <c r="V16" s="7"/>
      <c r="W16" s="7"/>
      <c r="X16" s="7"/>
      <c r="Y16" s="7"/>
      <c r="Z16" s="7"/>
    </row>
    <row r="17" spans="1:26" ht="12.75" customHeight="1" outlineLevel="1">
      <c r="A17" s="126" t="s">
        <v>719</v>
      </c>
      <c r="B17" s="126" t="s">
        <v>720</v>
      </c>
      <c r="C17" s="126" t="s">
        <v>721</v>
      </c>
      <c r="D17" s="126" t="s">
        <v>722</v>
      </c>
      <c r="E17" s="126" t="s">
        <v>723</v>
      </c>
      <c r="F17" s="126" t="s">
        <v>43</v>
      </c>
      <c r="G17" s="128">
        <v>45966</v>
      </c>
      <c r="H17" s="126" t="s">
        <v>849</v>
      </c>
      <c r="I17" s="126" t="s">
        <v>45</v>
      </c>
      <c r="J17" s="138"/>
      <c r="K17" s="138"/>
      <c r="L17" s="126" t="s">
        <v>45</v>
      </c>
      <c r="M17" s="138"/>
      <c r="N17" s="138"/>
      <c r="O17" s="138"/>
      <c r="P17" s="7"/>
      <c r="Q17" s="101"/>
      <c r="R17" s="7"/>
      <c r="S17" s="7"/>
      <c r="T17" s="7"/>
      <c r="U17" s="7"/>
      <c r="V17" s="7"/>
      <c r="W17" s="7"/>
      <c r="X17" s="7"/>
      <c r="Y17" s="7"/>
      <c r="Z17" s="7"/>
    </row>
    <row r="18" spans="1:26" ht="12.75" customHeight="1" outlineLevel="1">
      <c r="A18" s="126" t="s">
        <v>724</v>
      </c>
      <c r="B18" s="126" t="s">
        <v>725</v>
      </c>
      <c r="C18" s="126" t="s">
        <v>726</v>
      </c>
      <c r="D18" s="126" t="s">
        <v>727</v>
      </c>
      <c r="E18" s="126" t="s">
        <v>723</v>
      </c>
      <c r="F18" s="126" t="s">
        <v>43</v>
      </c>
      <c r="G18" s="128">
        <v>45966</v>
      </c>
      <c r="H18" s="126" t="s">
        <v>849</v>
      </c>
      <c r="I18" s="126" t="s">
        <v>45</v>
      </c>
      <c r="J18" s="138"/>
      <c r="K18" s="138"/>
      <c r="L18" s="126" t="s">
        <v>45</v>
      </c>
      <c r="M18" s="138"/>
      <c r="N18" s="138"/>
      <c r="O18" s="138"/>
      <c r="P18" s="7"/>
      <c r="Q18" s="101"/>
      <c r="R18" s="7"/>
      <c r="S18" s="7"/>
      <c r="T18" s="7"/>
      <c r="U18" s="7"/>
      <c r="V18" s="7"/>
      <c r="W18" s="7"/>
      <c r="X18" s="7"/>
      <c r="Y18" s="7"/>
      <c r="Z18" s="7"/>
    </row>
    <row r="19" spans="1:26" ht="12.75" customHeight="1" outlineLevel="1">
      <c r="A19" s="126" t="s">
        <v>728</v>
      </c>
      <c r="B19" s="126" t="s">
        <v>729</v>
      </c>
      <c r="C19" s="126" t="s">
        <v>730</v>
      </c>
      <c r="D19" s="126" t="s">
        <v>731</v>
      </c>
      <c r="E19" s="126" t="s">
        <v>723</v>
      </c>
      <c r="F19" s="126" t="s">
        <v>43</v>
      </c>
      <c r="G19" s="128">
        <v>45966</v>
      </c>
      <c r="H19" s="126" t="s">
        <v>849</v>
      </c>
      <c r="I19" s="126" t="s">
        <v>45</v>
      </c>
      <c r="J19" s="138"/>
      <c r="K19" s="138"/>
      <c r="L19" s="126" t="s">
        <v>45</v>
      </c>
      <c r="M19" s="138"/>
      <c r="N19" s="138"/>
      <c r="O19" s="138"/>
      <c r="P19" s="7"/>
      <c r="Q19" s="101"/>
      <c r="R19" s="7"/>
      <c r="S19" s="7"/>
      <c r="T19" s="7"/>
      <c r="U19" s="7"/>
      <c r="V19" s="7"/>
      <c r="W19" s="7"/>
      <c r="X19" s="7"/>
      <c r="Y19" s="7"/>
      <c r="Z19" s="7"/>
    </row>
    <row r="20" spans="1:26" ht="12.75" customHeight="1" outlineLevel="1">
      <c r="A20" s="126" t="s">
        <v>732</v>
      </c>
      <c r="B20" s="126" t="s">
        <v>733</v>
      </c>
      <c r="C20" s="126" t="s">
        <v>734</v>
      </c>
      <c r="D20" s="126" t="s">
        <v>722</v>
      </c>
      <c r="E20" s="126" t="s">
        <v>723</v>
      </c>
      <c r="F20" s="126" t="s">
        <v>43</v>
      </c>
      <c r="G20" s="128">
        <v>45966</v>
      </c>
      <c r="H20" s="126" t="s">
        <v>849</v>
      </c>
      <c r="I20" s="126" t="s">
        <v>45</v>
      </c>
      <c r="J20" s="138"/>
      <c r="K20" s="138"/>
      <c r="L20" s="126" t="s">
        <v>45</v>
      </c>
      <c r="M20" s="138"/>
      <c r="N20" s="138"/>
      <c r="O20" s="138"/>
      <c r="P20" s="7"/>
      <c r="Q20" s="101"/>
      <c r="R20" s="7"/>
      <c r="S20" s="7"/>
      <c r="T20" s="7"/>
      <c r="U20" s="7"/>
      <c r="V20" s="7"/>
      <c r="W20" s="7"/>
      <c r="X20" s="7"/>
      <c r="Y20" s="7"/>
      <c r="Z20" s="7"/>
    </row>
    <row r="21" spans="1:26" ht="12.75" customHeight="1" outlineLevel="1">
      <c r="A21" s="126" t="s">
        <v>735</v>
      </c>
      <c r="B21" s="126" t="s">
        <v>736</v>
      </c>
      <c r="C21" s="126" t="s">
        <v>737</v>
      </c>
      <c r="D21" s="126" t="s">
        <v>727</v>
      </c>
      <c r="E21" s="126" t="s">
        <v>723</v>
      </c>
      <c r="F21" s="126" t="s">
        <v>43</v>
      </c>
      <c r="G21" s="128">
        <v>45966</v>
      </c>
      <c r="H21" s="126" t="s">
        <v>849</v>
      </c>
      <c r="I21" s="126" t="s">
        <v>45</v>
      </c>
      <c r="J21" s="138"/>
      <c r="K21" s="138"/>
      <c r="L21" s="126" t="s">
        <v>45</v>
      </c>
      <c r="M21" s="138"/>
      <c r="N21" s="138"/>
      <c r="O21" s="138"/>
      <c r="P21" s="7"/>
      <c r="Q21" s="101"/>
      <c r="R21" s="7"/>
      <c r="S21" s="7"/>
      <c r="T21" s="7"/>
      <c r="U21" s="7"/>
      <c r="V21" s="7"/>
      <c r="W21" s="7"/>
      <c r="X21" s="7"/>
      <c r="Y21" s="7"/>
      <c r="Z21" s="7"/>
    </row>
    <row r="22" spans="1:26" ht="12.75" customHeight="1" outlineLevel="1">
      <c r="A22" s="126" t="s">
        <v>738</v>
      </c>
      <c r="B22" s="126" t="s">
        <v>739</v>
      </c>
      <c r="C22" s="126" t="s">
        <v>740</v>
      </c>
      <c r="D22" s="126" t="s">
        <v>731</v>
      </c>
      <c r="E22" s="126" t="s">
        <v>723</v>
      </c>
      <c r="F22" s="126" t="s">
        <v>43</v>
      </c>
      <c r="G22" s="128">
        <v>45966</v>
      </c>
      <c r="H22" s="126" t="s">
        <v>849</v>
      </c>
      <c r="I22" s="126" t="s">
        <v>45</v>
      </c>
      <c r="J22" s="138"/>
      <c r="K22" s="138"/>
      <c r="L22" s="126" t="s">
        <v>45</v>
      </c>
      <c r="M22" s="138"/>
      <c r="N22" s="138"/>
      <c r="O22" s="138"/>
      <c r="P22" s="7"/>
      <c r="Q22" s="101"/>
      <c r="R22" s="7"/>
      <c r="S22" s="7"/>
      <c r="T22" s="7"/>
      <c r="U22" s="7"/>
      <c r="V22" s="7"/>
      <c r="W22" s="7"/>
      <c r="X22" s="7"/>
      <c r="Y22" s="7"/>
      <c r="Z22" s="7"/>
    </row>
    <row r="23" spans="1:26" ht="12.75" customHeight="1" outlineLevel="1">
      <c r="A23" s="126" t="s">
        <v>741</v>
      </c>
      <c r="B23" s="126" t="s">
        <v>742</v>
      </c>
      <c r="C23" s="126" t="s">
        <v>743</v>
      </c>
      <c r="D23" s="126" t="s">
        <v>744</v>
      </c>
      <c r="E23" s="126" t="s">
        <v>723</v>
      </c>
      <c r="F23" s="126" t="s">
        <v>43</v>
      </c>
      <c r="G23" s="128">
        <v>45966</v>
      </c>
      <c r="H23" s="126" t="s">
        <v>849</v>
      </c>
      <c r="I23" s="126" t="s">
        <v>45</v>
      </c>
      <c r="J23" s="138"/>
      <c r="K23" s="138"/>
      <c r="L23" s="126" t="s">
        <v>45</v>
      </c>
      <c r="M23" s="138"/>
      <c r="N23" s="138"/>
      <c r="O23" s="138"/>
      <c r="P23" s="7"/>
      <c r="Q23" s="101"/>
      <c r="R23" s="7"/>
      <c r="S23" s="7"/>
      <c r="T23" s="7"/>
      <c r="U23" s="7"/>
      <c r="V23" s="7"/>
      <c r="W23" s="7"/>
      <c r="X23" s="7"/>
      <c r="Y23" s="7"/>
      <c r="Z23" s="7"/>
    </row>
    <row r="24" spans="1:26" ht="12.75" customHeight="1" outlineLevel="1">
      <c r="A24" s="126" t="s">
        <v>745</v>
      </c>
      <c r="B24" s="126" t="s">
        <v>746</v>
      </c>
      <c r="C24" s="126" t="s">
        <v>743</v>
      </c>
      <c r="D24" s="126" t="s">
        <v>747</v>
      </c>
      <c r="E24" s="126" t="s">
        <v>723</v>
      </c>
      <c r="F24" s="126" t="s">
        <v>43</v>
      </c>
      <c r="G24" s="128">
        <v>45966</v>
      </c>
      <c r="H24" s="126" t="s">
        <v>849</v>
      </c>
      <c r="I24" s="126" t="s">
        <v>45</v>
      </c>
      <c r="J24" s="138"/>
      <c r="K24" s="138"/>
      <c r="L24" s="126" t="s">
        <v>45</v>
      </c>
      <c r="M24" s="138"/>
      <c r="N24" s="138"/>
      <c r="O24" s="138"/>
      <c r="P24" s="7"/>
      <c r="Q24" s="101"/>
      <c r="R24" s="7"/>
      <c r="S24" s="7"/>
      <c r="T24" s="7"/>
      <c r="U24" s="7"/>
      <c r="V24" s="7"/>
      <c r="W24" s="7"/>
      <c r="X24" s="7"/>
      <c r="Y24" s="7"/>
      <c r="Z24" s="7"/>
    </row>
    <row r="25" spans="1:26" ht="12.75" customHeight="1" outlineLevel="1">
      <c r="A25" s="126" t="s">
        <v>748</v>
      </c>
      <c r="B25" s="126" t="s">
        <v>749</v>
      </c>
      <c r="C25" s="126" t="s">
        <v>716</v>
      </c>
      <c r="D25" s="126" t="s">
        <v>750</v>
      </c>
      <c r="E25" s="126" t="s">
        <v>723</v>
      </c>
      <c r="F25" s="126" t="s">
        <v>45</v>
      </c>
      <c r="G25" s="128">
        <v>45966</v>
      </c>
      <c r="H25" s="126" t="s">
        <v>849</v>
      </c>
      <c r="I25" s="126" t="s">
        <v>45</v>
      </c>
      <c r="J25" s="138"/>
      <c r="K25" s="138"/>
      <c r="L25" s="126" t="s">
        <v>45</v>
      </c>
      <c r="M25" s="138"/>
      <c r="N25" s="138"/>
      <c r="O25" s="138"/>
      <c r="P25" s="7"/>
      <c r="Q25" s="101"/>
      <c r="R25" s="7"/>
      <c r="S25" s="7"/>
      <c r="T25" s="7"/>
      <c r="U25" s="7"/>
      <c r="V25" s="7"/>
      <c r="W25" s="7"/>
      <c r="X25" s="7"/>
      <c r="Y25" s="7"/>
      <c r="Z25" s="7"/>
    </row>
    <row r="26" spans="1:26" ht="12.75" customHeight="1" outlineLevel="1">
      <c r="A26" s="126" t="s">
        <v>751</v>
      </c>
      <c r="B26" s="126" t="s">
        <v>752</v>
      </c>
      <c r="C26" s="126" t="s">
        <v>743</v>
      </c>
      <c r="D26" s="126" t="s">
        <v>753</v>
      </c>
      <c r="E26" s="126" t="s">
        <v>723</v>
      </c>
      <c r="F26" s="126" t="s">
        <v>43</v>
      </c>
      <c r="G26" s="128">
        <v>45966</v>
      </c>
      <c r="H26" s="126" t="s">
        <v>849</v>
      </c>
      <c r="I26" s="126"/>
      <c r="J26" s="138"/>
      <c r="K26" s="138"/>
      <c r="L26" s="126"/>
      <c r="M26" s="138"/>
      <c r="N26" s="138"/>
      <c r="O26" s="138"/>
      <c r="P26" s="7"/>
      <c r="Q26" s="101"/>
      <c r="R26" s="7"/>
      <c r="S26" s="7"/>
      <c r="T26" s="7"/>
      <c r="U26" s="7"/>
      <c r="V26" s="7"/>
      <c r="W26" s="7"/>
      <c r="X26" s="7"/>
      <c r="Y26" s="7"/>
      <c r="Z26" s="7"/>
    </row>
    <row r="27" spans="1:26" ht="12.75" customHeight="1" outlineLevel="1">
      <c r="A27" s="126" t="s">
        <v>754</v>
      </c>
      <c r="B27" s="126" t="s">
        <v>755</v>
      </c>
      <c r="C27" s="126" t="s">
        <v>716</v>
      </c>
      <c r="D27" s="126" t="s">
        <v>717</v>
      </c>
      <c r="E27" s="126" t="s">
        <v>723</v>
      </c>
      <c r="F27" s="126" t="s">
        <v>43</v>
      </c>
      <c r="G27" s="128">
        <v>45966</v>
      </c>
      <c r="H27" s="126" t="s">
        <v>849</v>
      </c>
      <c r="I27" s="126"/>
      <c r="J27" s="138"/>
      <c r="K27" s="138"/>
      <c r="L27" s="126"/>
      <c r="M27" s="138"/>
      <c r="N27" s="138"/>
      <c r="O27" s="138"/>
      <c r="P27" s="7"/>
      <c r="Q27" s="101"/>
      <c r="R27" s="7"/>
      <c r="S27" s="7"/>
      <c r="T27" s="7"/>
      <c r="U27" s="7"/>
      <c r="V27" s="7"/>
      <c r="W27" s="7"/>
      <c r="X27" s="7"/>
      <c r="Y27" s="7"/>
      <c r="Z27" s="7"/>
    </row>
    <row r="28" spans="1:26" ht="12.75" customHeight="1" outlineLevel="1">
      <c r="A28" s="126" t="s">
        <v>756</v>
      </c>
      <c r="B28" s="126" t="s">
        <v>757</v>
      </c>
      <c r="C28" s="126" t="s">
        <v>716</v>
      </c>
      <c r="D28" s="126" t="s">
        <v>717</v>
      </c>
      <c r="E28" s="126" t="s">
        <v>723</v>
      </c>
      <c r="F28" s="126"/>
      <c r="G28" s="128"/>
      <c r="H28" s="126"/>
      <c r="I28" s="126"/>
      <c r="J28" s="138"/>
      <c r="K28" s="138"/>
      <c r="L28" s="126"/>
      <c r="M28" s="138"/>
      <c r="N28" s="138"/>
      <c r="O28" s="138"/>
      <c r="P28" s="7"/>
      <c r="Q28" s="101"/>
      <c r="R28" s="7"/>
      <c r="S28" s="7"/>
      <c r="T28" s="7"/>
      <c r="U28" s="7"/>
      <c r="V28" s="7"/>
      <c r="W28" s="7"/>
      <c r="X28" s="7"/>
      <c r="Y28" s="7"/>
      <c r="Z28" s="7"/>
    </row>
    <row r="29" spans="1:26" ht="12.75" customHeight="1" outlineLevel="1">
      <c r="A29" s="126" t="s">
        <v>758</v>
      </c>
      <c r="B29" s="126" t="s">
        <v>749</v>
      </c>
      <c r="C29" s="126" t="s">
        <v>716</v>
      </c>
      <c r="D29" s="126" t="s">
        <v>717</v>
      </c>
      <c r="E29" s="126" t="s">
        <v>723</v>
      </c>
      <c r="F29" s="126"/>
      <c r="G29" s="128"/>
      <c r="H29" s="126"/>
      <c r="I29" s="126"/>
      <c r="J29" s="138"/>
      <c r="K29" s="138"/>
      <c r="L29" s="126"/>
      <c r="M29" s="138"/>
      <c r="N29" s="138"/>
      <c r="O29" s="138"/>
      <c r="P29" s="7"/>
      <c r="Q29" s="101"/>
      <c r="R29" s="7"/>
      <c r="S29" s="7"/>
      <c r="T29" s="7"/>
      <c r="U29" s="7"/>
      <c r="V29" s="7"/>
      <c r="W29" s="7"/>
      <c r="X29" s="7"/>
      <c r="Y29" s="7"/>
      <c r="Z29" s="7"/>
    </row>
    <row r="30" spans="1:26" ht="12.75" customHeight="1" outlineLevel="1">
      <c r="A30" s="126" t="s">
        <v>850</v>
      </c>
      <c r="B30" s="126" t="s">
        <v>749</v>
      </c>
      <c r="C30" s="126"/>
      <c r="D30" s="126"/>
      <c r="E30" s="126"/>
      <c r="F30" s="126"/>
      <c r="G30" s="128"/>
      <c r="H30" s="126"/>
      <c r="I30" s="126"/>
      <c r="J30" s="138"/>
      <c r="K30" s="138"/>
      <c r="L30" s="126"/>
      <c r="M30" s="138"/>
      <c r="N30" s="138"/>
      <c r="O30" s="138"/>
      <c r="P30" s="7"/>
      <c r="Q30" s="101"/>
      <c r="R30" s="7"/>
      <c r="S30" s="7"/>
      <c r="T30" s="7"/>
      <c r="U30" s="7"/>
      <c r="V30" s="7"/>
      <c r="W30" s="7"/>
      <c r="X30" s="7"/>
      <c r="Y30" s="7"/>
      <c r="Z30" s="7"/>
    </row>
    <row r="31" spans="1:26" ht="12.75" customHeight="1" outlineLevel="1">
      <c r="A31" s="126" t="s">
        <v>851</v>
      </c>
      <c r="B31" s="126" t="s">
        <v>749</v>
      </c>
      <c r="C31" s="126"/>
      <c r="D31" s="126"/>
      <c r="E31" s="126"/>
      <c r="F31" s="126"/>
      <c r="G31" s="128"/>
      <c r="H31" s="126"/>
      <c r="I31" s="126"/>
      <c r="J31" s="138"/>
      <c r="K31" s="138"/>
      <c r="L31" s="126"/>
      <c r="M31" s="138"/>
      <c r="N31" s="138"/>
      <c r="O31" s="138"/>
      <c r="P31" s="7"/>
      <c r="Q31" s="101"/>
      <c r="R31" s="7"/>
      <c r="S31" s="7"/>
      <c r="T31" s="7"/>
      <c r="U31" s="7"/>
      <c r="V31" s="7"/>
      <c r="W31" s="7"/>
      <c r="X31" s="7"/>
      <c r="Y31" s="7"/>
      <c r="Z31" s="7"/>
    </row>
    <row r="32" spans="1:26" ht="12.75" customHeight="1" outlineLevel="1">
      <c r="A32" s="126" t="s">
        <v>852</v>
      </c>
      <c r="B32" s="126" t="s">
        <v>749</v>
      </c>
      <c r="C32" s="126"/>
      <c r="D32" s="126"/>
      <c r="E32" s="126"/>
      <c r="F32" s="126"/>
      <c r="G32" s="128"/>
      <c r="H32" s="126"/>
      <c r="I32" s="126"/>
      <c r="J32" s="138"/>
      <c r="K32" s="138"/>
      <c r="L32" s="126"/>
      <c r="M32" s="138"/>
      <c r="N32" s="138"/>
      <c r="O32" s="138"/>
      <c r="P32" s="7"/>
      <c r="Q32" s="101"/>
      <c r="R32" s="7"/>
      <c r="S32" s="7"/>
      <c r="T32" s="7"/>
      <c r="U32" s="7"/>
      <c r="V32" s="7"/>
      <c r="W32" s="7"/>
      <c r="X32" s="7"/>
      <c r="Y32" s="7"/>
      <c r="Z32" s="7"/>
    </row>
    <row r="33" spans="1:26" ht="15.75" customHeight="1">
      <c r="A33" s="122" t="s">
        <v>853</v>
      </c>
      <c r="B33" s="134"/>
      <c r="C33" s="135"/>
      <c r="D33" s="135"/>
      <c r="E33" s="135"/>
      <c r="F33" s="135"/>
      <c r="G33" s="135"/>
      <c r="H33" s="135"/>
      <c r="I33" s="135"/>
      <c r="J33" s="135"/>
      <c r="K33" s="135"/>
      <c r="L33" s="135"/>
      <c r="M33" s="135"/>
      <c r="N33" s="135"/>
      <c r="O33" s="136"/>
      <c r="P33" s="106"/>
      <c r="Q33" s="125"/>
      <c r="R33" s="106"/>
      <c r="S33" s="106"/>
      <c r="T33" s="106"/>
      <c r="U33" s="106"/>
      <c r="V33" s="106"/>
      <c r="W33" s="106"/>
      <c r="X33" s="106"/>
      <c r="Y33" s="106"/>
      <c r="Z33" s="106"/>
    </row>
    <row r="34" spans="1:26" ht="12.75" customHeight="1" outlineLevel="1">
      <c r="A34" s="126" t="s">
        <v>854</v>
      </c>
      <c r="B34" s="126" t="s">
        <v>855</v>
      </c>
      <c r="C34" s="126"/>
      <c r="D34" s="126"/>
      <c r="E34" s="126"/>
      <c r="F34" s="126" t="s">
        <v>45</v>
      </c>
      <c r="G34" s="126"/>
      <c r="H34" s="126"/>
      <c r="I34" s="126" t="s">
        <v>45</v>
      </c>
      <c r="J34" s="126"/>
      <c r="K34" s="126"/>
      <c r="L34" s="126" t="s">
        <v>45</v>
      </c>
      <c r="M34" s="126"/>
      <c r="N34" s="126"/>
      <c r="O34" s="126"/>
      <c r="P34" s="7"/>
      <c r="Q34" s="130"/>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101"/>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101"/>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101"/>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101"/>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101"/>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01"/>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01"/>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01"/>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01"/>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01"/>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row r="1010" spans="1:26" ht="12.75" customHeight="1">
      <c r="A1010" s="7"/>
      <c r="B1010" s="7"/>
      <c r="C1010" s="7"/>
      <c r="D1010" s="7"/>
      <c r="E1010" s="7"/>
      <c r="F1010" s="7"/>
      <c r="G1010" s="7"/>
      <c r="H1010" s="7"/>
      <c r="I1010" s="7"/>
      <c r="J1010" s="7"/>
      <c r="K1010" s="7"/>
      <c r="L1010" s="7"/>
      <c r="M1010" s="7"/>
      <c r="N1010" s="7"/>
      <c r="O1010" s="7"/>
      <c r="P1010" s="7"/>
      <c r="Q1010" s="101"/>
      <c r="R1010" s="7"/>
      <c r="S1010" s="7"/>
      <c r="T1010" s="7"/>
      <c r="U1010" s="7"/>
      <c r="V1010" s="7"/>
      <c r="W1010" s="7"/>
      <c r="X1010" s="7"/>
      <c r="Y1010" s="7"/>
      <c r="Z1010" s="7"/>
    </row>
    <row r="1011" spans="1:26" ht="12.75" customHeight="1">
      <c r="A1011" s="7"/>
      <c r="B1011" s="7"/>
      <c r="C1011" s="7"/>
      <c r="D1011" s="7"/>
      <c r="E1011" s="7"/>
      <c r="F1011" s="7"/>
      <c r="G1011" s="7"/>
      <c r="H1011" s="7"/>
      <c r="I1011" s="7"/>
      <c r="J1011" s="7"/>
      <c r="K1011" s="7"/>
      <c r="L1011" s="7"/>
      <c r="M1011" s="7"/>
      <c r="N1011" s="7"/>
      <c r="O1011" s="7"/>
      <c r="P1011" s="7"/>
      <c r="Q1011" s="101"/>
      <c r="R1011" s="7"/>
      <c r="S1011" s="7"/>
      <c r="T1011" s="7"/>
      <c r="U1011" s="7"/>
      <c r="V1011" s="7"/>
      <c r="W1011" s="7"/>
      <c r="X1011" s="7"/>
      <c r="Y1011" s="7"/>
      <c r="Z1011" s="7"/>
    </row>
    <row r="1012" spans="1:26" ht="12.75" customHeight="1">
      <c r="A1012" s="7"/>
      <c r="B1012" s="7"/>
      <c r="C1012" s="7"/>
      <c r="D1012" s="7"/>
      <c r="E1012" s="7"/>
      <c r="F1012" s="7"/>
      <c r="G1012" s="7"/>
      <c r="H1012" s="7"/>
      <c r="I1012" s="7"/>
      <c r="J1012" s="7"/>
      <c r="K1012" s="7"/>
      <c r="L1012" s="7"/>
      <c r="M1012" s="7"/>
      <c r="N1012" s="7"/>
      <c r="O1012" s="7"/>
      <c r="P1012" s="7"/>
      <c r="Q1012" s="101"/>
      <c r="R1012" s="7"/>
      <c r="S1012" s="7"/>
      <c r="T1012" s="7"/>
      <c r="U1012" s="7"/>
      <c r="V1012" s="7"/>
      <c r="W1012" s="7"/>
      <c r="X1012" s="7"/>
      <c r="Y1012" s="7"/>
      <c r="Z1012" s="7"/>
    </row>
    <row r="1013" spans="1:26" ht="12.75" customHeight="1">
      <c r="A1013" s="7"/>
      <c r="B1013" s="7"/>
      <c r="C1013" s="7"/>
      <c r="D1013" s="7"/>
      <c r="E1013" s="7"/>
      <c r="F1013" s="7"/>
      <c r="G1013" s="7"/>
      <c r="H1013" s="7"/>
      <c r="I1013" s="7"/>
      <c r="J1013" s="7"/>
      <c r="K1013" s="7"/>
      <c r="L1013" s="7"/>
      <c r="M1013" s="7"/>
      <c r="N1013" s="7"/>
      <c r="O1013" s="7"/>
      <c r="P1013" s="7"/>
      <c r="Q1013" s="101"/>
      <c r="R1013" s="7"/>
      <c r="S1013" s="7"/>
      <c r="T1013" s="7"/>
      <c r="U1013" s="7"/>
      <c r="V1013" s="7"/>
      <c r="W1013" s="7"/>
      <c r="X1013" s="7"/>
      <c r="Y1013" s="7"/>
      <c r="Z1013" s="7"/>
    </row>
    <row r="1014" spans="1:26" ht="12.75" customHeight="1">
      <c r="A1014" s="7"/>
      <c r="B1014" s="7"/>
      <c r="C1014" s="7"/>
      <c r="D1014" s="7"/>
      <c r="E1014" s="7"/>
      <c r="F1014" s="7"/>
      <c r="G1014" s="7"/>
      <c r="H1014" s="7"/>
      <c r="I1014" s="7"/>
      <c r="J1014" s="7"/>
      <c r="K1014" s="7"/>
      <c r="L1014" s="7"/>
      <c r="M1014" s="7"/>
      <c r="N1014" s="7"/>
      <c r="O1014" s="7"/>
      <c r="P1014" s="7"/>
      <c r="Q1014" s="101"/>
      <c r="R1014" s="7"/>
      <c r="S1014" s="7"/>
      <c r="T1014" s="7"/>
      <c r="U1014" s="7"/>
      <c r="V1014" s="7"/>
      <c r="W1014" s="7"/>
      <c r="X1014" s="7"/>
      <c r="Y1014" s="7"/>
      <c r="Z1014" s="7"/>
    </row>
    <row r="1015" spans="1:26" ht="12.75" customHeight="1">
      <c r="A1015" s="7"/>
      <c r="B1015" s="7"/>
      <c r="C1015" s="7"/>
      <c r="D1015" s="7"/>
      <c r="E1015" s="7"/>
      <c r="F1015" s="7"/>
      <c r="G1015" s="7"/>
      <c r="H1015" s="7"/>
      <c r="I1015" s="7"/>
      <c r="J1015" s="7"/>
      <c r="K1015" s="7"/>
      <c r="L1015" s="7"/>
      <c r="M1015" s="7"/>
      <c r="N1015" s="7"/>
      <c r="O1015" s="7"/>
      <c r="P1015" s="7"/>
      <c r="Q1015" s="101"/>
      <c r="R1015" s="7"/>
      <c r="S1015" s="7"/>
      <c r="T1015" s="7"/>
      <c r="U1015" s="7"/>
      <c r="V1015" s="7"/>
      <c r="W1015" s="7"/>
      <c r="X1015" s="7"/>
      <c r="Y1015" s="7"/>
      <c r="Z1015" s="7"/>
    </row>
  </sheetData>
  <mergeCells count="3">
    <mergeCell ref="B2:E2"/>
    <mergeCell ref="B3:E3"/>
    <mergeCell ref="B4:E4"/>
  </mergeCells>
  <dataValidations count="1">
    <dataValidation type="list" allowBlank="1" showErrorMessage="1" sqref="G2:G3 J2:J3 M2:M3 G9 J9 M9 F12:F34 I12:I34 L12:L34 G35:G162 J35:J162 M35:M162" xr:uid="{00000000-0002-0000-0A00-000000000000}">
      <formula1>$R$2:$R$5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Test Cases</vt:lpstr>
      <vt:lpstr>Test Statistics</vt:lpstr>
      <vt:lpstr>Authentication</vt:lpstr>
      <vt:lpstr>Workflow of Student</vt:lpstr>
      <vt:lpstr>Workflow of Lecturer</vt:lpstr>
      <vt:lpstr>AI Assistant</vt:lpstr>
      <vt:lpstr>Workflow of System Moderator</vt:lpstr>
      <vt:lpstr>Workflow of Content Morderator</vt:lpstr>
      <vt:lpstr>Workflow of Admin</vt:lpstr>
      <vt:lpstr>Test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Bùi Quát</cp:lastModifiedBy>
  <dcterms:created xsi:type="dcterms:W3CDTF">2020-03-17T17:34:29Z</dcterms:created>
  <dcterms:modified xsi:type="dcterms:W3CDTF">2025-12-28T17:05:38Z</dcterms:modified>
</cp:coreProperties>
</file>